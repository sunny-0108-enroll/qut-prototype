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입찰 체크리스트" sheetId="2" state="visible" r:id="rId4"/>
    <sheet name="석유화학·배관 체크리스트" sheetId="3" state="visible" r:id="rId5"/>
    <sheet name="탱크제작 체크리스트" sheetId="4" state="visible" r:id="rId6"/>
    <sheet name="탱크 타입별 고려사항" sheetId="5" state="visible" r:id="rId7"/>
    <sheet name="총괄표" sheetId="6" state="visible" r:id="rId8"/>
    <sheet name="가정" sheetId="7" state="visible" r:id="rId9"/>
    <sheet name="E_설계" sheetId="8" state="visible" r:id="rId10"/>
    <sheet name="P_기자재" sheetId="9" state="visible" r:id="rId11"/>
    <sheet name="C_시공" sheetId="10" state="visible" r:id="rId12"/>
    <sheet name="간접비" sheetId="11" state="visible" r:id="rId13"/>
    <sheet name="조건_제외사항" sheetId="12" state="visible" r:id="rId14"/>
    <sheet name="탱크 견적 예시" sheetId="13" state="visible" r:id="rId15"/>
    <sheet name="배관 견적 예시" sheetId="14" state="visible" r:id="rId16"/>
    <sheet name="참고문헌" sheetId="15" state="visible" r:id="rId17"/>
  </sheets>
  <definedNames>
    <definedName function="false" hidden="false" localSheetId="2" name="_xlnm.Print_Titles" vbProcedure="false">'석유화학·배관 체크리스트'!$11:$11</definedName>
    <definedName function="false" hidden="true" localSheetId="2" name="_xlnm._FilterDatabase" vbProcedure="false">'석유화학·배관 체크리스트'!$A$11:$L$66</definedName>
    <definedName function="false" hidden="false" localSheetId="1" name="_xlnm.Print_Titles" vbProcedure="false">'입찰 체크리스트'!$9:$9</definedName>
    <definedName function="false" hidden="true" localSheetId="1" name="_xlnm._FilterDatabase" vbProcedure="false">'입찰 체크리스트'!$A$9:$L$95</definedName>
    <definedName function="false" hidden="false" localSheetId="4" name="_xlnm.Print_Titles" vbProcedure="false">'탱크 타입별 고려사항'!$21:$21</definedName>
    <definedName function="false" hidden="true" localSheetId="4" name="_xlnm._FilterDatabase" vbProcedure="false">'탱크 타입별 고려사항'!$A$21:$L$91</definedName>
    <definedName function="false" hidden="false" localSheetId="3" name="_xlnm.Print_Titles" vbProcedure="false">'탱크제작 체크리스트'!$11:$11</definedName>
    <definedName function="false" hidden="true" localSheetId="3" name="_xlnm._FilterDatabase" vbProcedure="false">'탱크제작 체크리스트'!$A$11:$L$78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<sst xmlns="http://schemas.openxmlformats.org/spreadsheetml/2006/main" count="3030" uniqueCount="1619">
  <si>
    <t xml:space="preserve">견 적 서 (BID PRICE PROPOSAL)</t>
  </si>
  <si>
    <t xml:space="preserve">플랜트 EPC 일괄도급(Lump-Sum Turnkey) 입찰 - 샘플 양식</t>
  </si>
  <si>
    <t xml:space="preserve">발주처 (Owner)</t>
  </si>
  <si>
    <t xml:space="preserve">○○화학 주식회사</t>
  </si>
  <si>
    <t xml:space="preserve">프로젝트명</t>
  </si>
  <si>
    <t xml:space="preserve">○○ 석유화학 공장 증설 EPC 공사</t>
  </si>
  <si>
    <t xml:space="preserve">입찰번호 (ITB No.)</t>
  </si>
  <si>
    <t xml:space="preserve">ITB-2026-0123</t>
  </si>
  <si>
    <t xml:space="preserve">공사위치</t>
  </si>
  <si>
    <t xml:space="preserve">울산광역시 남구 ○○산업단지</t>
  </si>
  <si>
    <t xml:space="preserve">계약방식</t>
  </si>
  <si>
    <t xml:space="preserve">EPC Lump-Sum Turnkey</t>
  </si>
  <si>
    <t xml:space="preserve">공사기간</t>
  </si>
  <si>
    <t xml:space="preserve">착공 후 24개월 (기계적 준공 기준)</t>
  </si>
  <si>
    <t xml:space="preserve">견적 통화</t>
  </si>
  <si>
    <r>
      <rPr>
        <sz val="10"/>
        <color rgb="FF0000FF"/>
        <rFont val="맑은 고딕"/>
        <family val="0"/>
        <charset val="1"/>
      </rPr>
      <t xml:space="preserve">KRW (</t>
    </r>
    <r>
      <rPr>
        <sz val="10"/>
        <color rgb="FF0000FF"/>
        <rFont val="Noto Sans CJK SC"/>
        <family val="2"/>
      </rPr>
      <t xml:space="preserve">외화 기자재는 </t>
    </r>
    <r>
      <rPr>
        <sz val="10"/>
        <color rgb="FF0000FF"/>
        <rFont val="맑은 고딕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가정</t>
    </r>
    <r>
      <rPr>
        <sz val="10"/>
        <color rgb="FF0000FF"/>
        <rFont val="맑은 고딕"/>
        <family val="0"/>
        <charset val="1"/>
      </rPr>
      <t xml:space="preserve">' </t>
    </r>
    <r>
      <rPr>
        <sz val="10"/>
        <color rgb="FF0000FF"/>
        <rFont val="Noto Sans CJK SC"/>
        <family val="2"/>
      </rPr>
      <t xml:space="preserve">시트 환율로 환산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</si>
  <si>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견적 기준일</t>
  </si>
  <si>
    <t xml:space="preserve">2026-10-16</t>
  </si>
  <si>
    <t xml:space="preserve">견적 유효기간</t>
  </si>
  <si>
    <t xml:space="preserve">제출일로부터 90일</t>
  </si>
  <si>
    <t xml:space="preserve">입찰자 (Bidder)</t>
  </si>
  <si>
    <t xml:space="preserve">△△엔지니어링 주식회사</t>
  </si>
  <si>
    <t xml:space="preserve">담당자 / 연락처</t>
  </si>
  <si>
    <t xml:space="preserve">홍길동 부장 / 02-000-0000</t>
  </si>
  <si>
    <t xml:space="preserve">총 입찰금액 (VAT 별도)</t>
  </si>
  <si>
    <t xml:space="preserve">총 입찰금액 (VAT 포함)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</si>
  <si>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범례</t>
    </r>
    <r>
      <rPr>
        <b val="true"/>
        <sz val="10"/>
        <rFont val="맑은 고딕"/>
        <family val="0"/>
        <charset val="1"/>
      </rPr>
      <t xml:space="preserve">]</t>
    </r>
  </si>
  <si>
    <t xml:space="preserve">파란 글씨 + 노란 칸</t>
  </si>
  <si>
    <t xml:space="preserve">직접 입력하는 값 (수량·단가·요율·프로젝트 정보)</t>
  </si>
  <si>
    <t xml:space="preserve">파란 글씨</t>
  </si>
  <si>
    <t xml:space="preserve">입력값 (샘플 수치 — 실제 견적 시 교체)</t>
  </si>
  <si>
    <t xml:space="preserve">검은 글씨</t>
  </si>
  <si>
    <t xml:space="preserve">계산식 — 수정하지 마세요</t>
  </si>
  <si>
    <t xml:space="preserve">초록 글씨</t>
  </si>
  <si>
    <t xml:space="preserve">다른 시트에서 가져온 값</t>
  </si>
  <si>
    <t xml:space="preserve">※ 모든 금액·수량은 양식 이해를 위한 가상의 샘플 값입니다.</t>
  </si>
  <si>
    <r>
      <rPr>
        <b val="true"/>
        <sz val="16"/>
        <rFont val="맑은 고딕"/>
        <family val="0"/>
        <charset val="1"/>
      </rPr>
      <t xml:space="preserve">EPC </t>
    </r>
    <r>
      <rPr>
        <b val="true"/>
        <sz val="16"/>
        <rFont val="Noto Sans CJK SC"/>
        <family val="2"/>
      </rPr>
      <t xml:space="preserve">입찰 견적 체크리스트 </t>
    </r>
    <r>
      <rPr>
        <b val="true"/>
        <sz val="16"/>
        <rFont val="맑은 고딕"/>
        <family val="0"/>
        <charset val="1"/>
      </rPr>
      <t xml:space="preserve">(Bid Checklist)</t>
    </r>
  </si>
  <si>
    <t xml:space="preserve">진행 현황</t>
  </si>
  <si>
    <t xml:space="preserve">발주처 문서별 확인 포인트 — 노란 칸(확인상태·견적반영·담당자·확인일·비고)에 입력. 4번째 행은 작성 예시입니다.</t>
  </si>
  <si>
    <t xml:space="preserve">전체 항목</t>
  </si>
  <si>
    <t xml:space="preserve">근거 수준: A=원문·판매처 확인 / B=2차 자료 확인(원문 대조 권장) / C=조항 미확인 / D=실무 관행(공개 출처 없음). 상세는 '참고문헌' 시트</t>
  </si>
  <si>
    <t xml:space="preserve">완료</t>
  </si>
  <si>
    <t xml:space="preserve">확인중</t>
  </si>
  <si>
    <t xml:space="preserve">질의필요</t>
  </si>
  <si>
    <t xml:space="preserve">미확인</t>
  </si>
  <si>
    <t xml:space="preserve">완료율</t>
  </si>
  <si>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해당없음 제외</t>
    </r>
    <r>
      <rPr>
        <sz val="9"/>
        <color rgb="FF666666"/>
        <rFont val="맑은 고딕"/>
        <family val="0"/>
        <charset val="1"/>
      </rPr>
      <t xml:space="preserve">)</t>
    </r>
  </si>
  <si>
    <t xml:space="preserve">해당없음</t>
  </si>
  <si>
    <t xml:space="preserve">No</t>
  </si>
  <si>
    <t xml:space="preserve">구분</t>
  </si>
  <si>
    <t xml:space="preserve">대상 문서</t>
  </si>
  <si>
    <t xml:space="preserve">체크 항목</t>
  </si>
  <si>
    <t xml:space="preserve">확인 포인트 / 견적 영향</t>
  </si>
  <si>
    <t xml:space="preserve">확인상태</t>
  </si>
  <si>
    <t xml:space="preserve">견적반영</t>
  </si>
  <si>
    <t xml:space="preserve">담당</t>
  </si>
  <si>
    <t xml:space="preserve">확인일</t>
  </si>
  <si>
    <t xml:space="preserve">비고 (근거 조항·질의번호 등)</t>
  </si>
  <si>
    <t xml:space="preserve">출처 · 근거 (참고문헌 시트 ID)</t>
  </si>
  <si>
    <t xml:space="preserve">근거 수준</t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</si>
  <si>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입찰 참여 결정 </t>
    </r>
    <r>
      <rPr>
        <b val="true"/>
        <sz val="11"/>
        <rFont val="맑은 고딕"/>
        <family val="0"/>
        <charset val="1"/>
      </rPr>
      <t xml:space="preserve">(Go/No-Go)</t>
    </r>
  </si>
  <si>
    <t xml:space="preserve">공통</t>
  </si>
  <si>
    <t xml:space="preserve">내부 검토</t>
  </si>
  <si>
    <t xml:space="preserve">입찰 자격(PQ)</t>
  </si>
  <si>
    <t xml:space="preserve">실적·면허·재무 요건 충족, JV/컨소시엄 허용 여부</t>
  </si>
  <si>
    <t xml:space="preserve">반영</t>
  </si>
  <si>
    <t xml:space="preserve">홍길동</t>
  </si>
  <si>
    <t xml:space="preserve">2026-10-10</t>
  </si>
  <si>
    <r>
      <rPr>
        <sz val="10"/>
        <color rgb="FF0000FF"/>
        <rFont val="맑은 고딕"/>
        <family val="0"/>
        <charset val="1"/>
      </rPr>
      <t xml:space="preserve">Sec.3.2 PQ </t>
    </r>
    <r>
      <rPr>
        <sz val="10"/>
        <color rgb="FF0000FF"/>
        <rFont val="Noto Sans CJK SC"/>
        <family val="2"/>
      </rPr>
      <t xml:space="preserve">요건 충족 확인</t>
    </r>
  </si>
  <si>
    <t xml:space="preserve">업계 실무 관행 / 발주처 문서 확인 대상</t>
  </si>
  <si>
    <t xml:space="preserve">D</t>
  </si>
  <si>
    <t xml:space="preserve">발주처 신뢰도</t>
  </si>
  <si>
    <t xml:space="preserve">재무 상태, 자금 조달 확정 여부, 과거 클레임 이력</t>
  </si>
  <si>
    <t xml:space="preserve">경쟁 구도</t>
  </si>
  <si>
    <t xml:space="preserve">경쟁사 수, 예상 낙찰가 수준, 기존 협력사 존재</t>
  </si>
  <si>
    <t xml:space="preserve">자사 역량·인력</t>
  </si>
  <si>
    <t xml:space="preserve">해당 공정 경험, PM·설계 인력 투입 가능성, 동시 수주 부담</t>
  </si>
  <si>
    <t xml:space="preserve">견적 일정</t>
  </si>
  <si>
    <t xml:space="preserve">입찰 기간 내 벤더 견적 확보 가능 여부(통상 3~6주)</t>
  </si>
  <si>
    <t xml:space="preserve">견적 비용 대비 수주 가능성</t>
  </si>
  <si>
    <t xml:space="preserve">설계 인력 투입 비용 vs 수주 확률</t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</si>
  <si>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입찰안내서 </t>
    </r>
    <r>
      <rPr>
        <b val="true"/>
        <sz val="11"/>
        <rFont val="맑은 고딕"/>
        <family val="0"/>
        <charset val="1"/>
      </rPr>
      <t xml:space="preserve">(ITB)</t>
    </r>
  </si>
  <si>
    <t xml:space="preserve">ITB</t>
  </si>
  <si>
    <t xml:space="preserve">입찰안내서</t>
  </si>
  <si>
    <t xml:space="preserve">일정</t>
  </si>
  <si>
    <t xml:space="preserve">제출 마감, 질의 마감, 현장설명회(Site Visit) 일자</t>
  </si>
  <si>
    <t xml:space="preserve">발주처 ITB 원문 확인 대상 (입찰 절차 일반: [R39] FIDIC Procurement Procedures Guide)</t>
  </si>
  <si>
    <t xml:space="preserve">제출 서류 구성</t>
  </si>
  <si>
    <t xml:space="preserve">기술/가격 분리 제출, 지정 양식 사용 의무, 부수·서명</t>
  </si>
  <si>
    <t xml:space="preserve">평가 방식</t>
  </si>
  <si>
    <t xml:space="preserve">최저가 vs 종합평가, 기술점수 컷오프</t>
  </si>
  <si>
    <t xml:space="preserve">대안·예외 허용</t>
  </si>
  <si>
    <r>
      <rPr>
        <sz val="10"/>
        <rFont val="맑은 고딕"/>
        <family val="0"/>
        <charset val="1"/>
      </rPr>
      <t xml:space="preserve">Alternative </t>
    </r>
    <r>
      <rPr>
        <sz val="10"/>
        <rFont val="Noto Sans CJK SC"/>
        <family val="2"/>
      </rPr>
      <t xml:space="preserve">제안</t>
    </r>
    <r>
      <rPr>
        <sz val="10"/>
        <rFont val="맑은 고딕"/>
        <family val="0"/>
        <charset val="1"/>
      </rPr>
      <t xml:space="preserve">, Deviation </t>
    </r>
    <r>
      <rPr>
        <sz val="10"/>
        <rFont val="Noto Sans CJK SC"/>
        <family val="2"/>
      </rPr>
      <t xml:space="preserve">기재 허용 여부</t>
    </r>
  </si>
  <si>
    <t xml:space="preserve">입찰보증금</t>
  </si>
  <si>
    <t xml:space="preserve">금액, 형식, 유효기간</t>
  </si>
  <si>
    <t xml:space="preserve">기간이 길수록 물가·환율 리스크 → 벤더 견적 유효기간과 비교</t>
  </si>
  <si>
    <r>
      <rPr>
        <sz val="10"/>
        <rFont val="맑은 고딕"/>
        <family val="0"/>
        <charset val="1"/>
      </rPr>
      <t xml:space="preserve">Addendum </t>
    </r>
    <r>
      <rPr>
        <sz val="10"/>
        <rFont val="Noto Sans CJK SC"/>
        <family val="2"/>
      </rPr>
      <t xml:space="preserve">반영</t>
    </r>
  </si>
  <si>
    <t xml:space="preserve">모든 변경 공지·질의 답변 반영 여부</t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</si>
  <si>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계약조건 </t>
    </r>
    <r>
      <rPr>
        <b val="true"/>
        <sz val="11"/>
        <rFont val="맑은 고딕"/>
        <family val="0"/>
        <charset val="1"/>
      </rPr>
      <t xml:space="preserve">(GC/SC)</t>
    </r>
  </si>
  <si>
    <t xml:space="preserve">계약조건</t>
  </si>
  <si>
    <t xml:space="preserve">계약 일반/특수조건</t>
  </si>
  <si>
    <t xml:space="preserve">계약 형태</t>
  </si>
  <si>
    <r>
      <rPr>
        <sz val="10"/>
        <rFont val="맑은 고딕"/>
        <family val="0"/>
        <charset val="1"/>
      </rPr>
      <t xml:space="preserve">Lump-Sum / </t>
    </r>
    <r>
      <rPr>
        <sz val="10"/>
        <rFont val="Noto Sans CJK SC"/>
        <family val="2"/>
      </rPr>
      <t xml:space="preserve">단가 </t>
    </r>
    <r>
      <rPr>
        <sz val="10"/>
        <rFont val="맑은 고딕"/>
        <family val="0"/>
        <charset val="1"/>
      </rPr>
      <t xml:space="preserve">/ Cost-plus </t>
    </r>
    <r>
      <rPr>
        <sz val="10"/>
        <rFont val="Noto Sans CJK SC"/>
        <family val="2"/>
      </rPr>
      <t xml:space="preserve">혼합 여부</t>
    </r>
  </si>
  <si>
    <r>
      <rPr>
        <sz val="9"/>
        <rFont val="맑은 고딕"/>
        <family val="0"/>
        <charset val="1"/>
      </rPr>
      <t xml:space="preserve">[R38] FIDIC Silver Book 2017 (EPC/Turnkey </t>
    </r>
    <r>
      <rPr>
        <sz val="9"/>
        <rFont val="Noto Sans CJK SC"/>
        <family val="2"/>
      </rPr>
      <t xml:space="preserve">표준계약</t>
    </r>
    <r>
      <rPr>
        <sz val="9"/>
        <rFont val="맑은 고딕"/>
        <family val="0"/>
        <charset val="1"/>
      </rPr>
      <t xml:space="preserve">)</t>
    </r>
  </si>
  <si>
    <t xml:space="preserve">A</t>
  </si>
  <si>
    <t xml:space="preserve">지체상금 (Delay LD)</t>
  </si>
  <si>
    <t xml:space="preserve">일 요율 및 상한(Cap) — 상한 없으면 중대 리스크</t>
  </si>
  <si>
    <r>
      <rPr>
        <sz val="9"/>
        <rFont val="맑은 고딕"/>
        <family val="0"/>
        <charset val="1"/>
      </rPr>
      <t xml:space="preserve">[R38] FIDIC Silver Book Cl.8.8 / </t>
    </r>
    <r>
      <rPr>
        <sz val="9"/>
        <rFont val="Noto Sans CJK SC"/>
        <family val="2"/>
      </rPr>
      <t xml:space="preserve">공공계약 참고 </t>
    </r>
    <r>
      <rPr>
        <sz val="9"/>
        <rFont val="맑은 고딕"/>
        <family val="0"/>
        <charset val="1"/>
      </rPr>
      <t xml:space="preserve">[R06] </t>
    </r>
    <r>
      <rPr>
        <sz val="9"/>
        <rFont val="Noto Sans CJK SC"/>
        <family val="2"/>
      </rPr>
      <t xml:space="preserve">국가계약법 시행규칙 제</t>
    </r>
    <r>
      <rPr>
        <sz val="9"/>
        <rFont val="맑은 고딕"/>
        <family val="0"/>
        <charset val="1"/>
      </rPr>
      <t xml:space="preserve">75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공사 일 </t>
    </r>
    <r>
      <rPr>
        <sz val="9"/>
        <rFont val="맑은 고딕"/>
        <family val="0"/>
        <charset val="1"/>
      </rPr>
      <t xml:space="preserve">0.5/1000),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74</t>
    </r>
    <r>
      <rPr>
        <sz val="9"/>
        <rFont val="Noto Sans CJK SC"/>
        <family val="2"/>
      </rPr>
      <t xml:space="preserve">조③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상한 </t>
    </r>
    <r>
      <rPr>
        <sz val="9"/>
        <rFont val="맑은 고딕"/>
        <family val="0"/>
        <charset val="1"/>
      </rPr>
      <t xml:space="preserve">30%)</t>
    </r>
  </si>
  <si>
    <t xml:space="preserve">B</t>
  </si>
  <si>
    <t xml:space="preserve">성능보증 LD</t>
  </si>
  <si>
    <t xml:space="preserve">생산량·효율·소비량 미달 배상 기준과 상한, 라이선서 책임 구분</t>
  </si>
  <si>
    <r>
      <rPr>
        <sz val="9"/>
        <rFont val="맑은 고딕"/>
        <family val="0"/>
        <charset val="1"/>
      </rPr>
      <t xml:space="preserve">[R38] FIDIC Silver Book Cl.12 (12.4 </t>
    </r>
    <r>
      <rPr>
        <sz val="9"/>
        <rFont val="Noto Sans CJK SC"/>
        <family val="2"/>
      </rPr>
      <t xml:space="preserve">성능미달</t>
    </r>
    <r>
      <rPr>
        <sz val="9"/>
        <rFont val="맑은 고딕"/>
        <family val="0"/>
        <charset val="1"/>
      </rPr>
      <t xml:space="preserve">)</t>
    </r>
  </si>
  <si>
    <t xml:space="preserve">책임 한도</t>
  </si>
  <si>
    <t xml:space="preserve">총 책임 상한(통상 계약금액 100%), 간접손해 면책 조항</t>
  </si>
  <si>
    <r>
      <rPr>
        <sz val="9"/>
        <rFont val="맑은 고딕"/>
        <family val="0"/>
        <charset val="1"/>
      </rPr>
      <t xml:space="preserve">[R38] FIDIC Silver Book Cl.1.14 (</t>
    </r>
    <r>
      <rPr>
        <sz val="9"/>
        <rFont val="Noto Sans CJK SC"/>
        <family val="2"/>
      </rPr>
      <t xml:space="preserve">책임한도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간접손해 면책</t>
    </r>
    <r>
      <rPr>
        <sz val="9"/>
        <rFont val="맑은 고딕"/>
        <family val="0"/>
        <charset val="1"/>
      </rPr>
      <t xml:space="preserve">)</t>
    </r>
  </si>
  <si>
    <t xml:space="preserve">지급 조건</t>
  </si>
  <si>
    <t xml:space="preserve">선급금, 마일스톤, 유보금, 지급 기일 → 현금흐름·금융비용</t>
  </si>
  <si>
    <r>
      <rPr>
        <sz val="9"/>
        <rFont val="맑은 고딕"/>
        <family val="0"/>
        <charset val="1"/>
      </rPr>
      <t xml:space="preserve">[R38] FIDIC Silver Book Cl.14 (14.2 </t>
    </r>
    <r>
      <rPr>
        <sz val="9"/>
        <rFont val="Noto Sans CJK SC"/>
        <family val="2"/>
      </rPr>
      <t xml:space="preserve">선급금</t>
    </r>
    <r>
      <rPr>
        <sz val="9"/>
        <rFont val="맑은 고딕"/>
        <family val="0"/>
        <charset val="1"/>
      </rPr>
      <t xml:space="preserve">)</t>
    </r>
  </si>
  <si>
    <t xml:space="preserve">보증</t>
  </si>
  <si>
    <t xml:space="preserve">이행·선급·하자보증 비율·기간 → 보증수수료</t>
  </si>
  <si>
    <r>
      <rPr>
        <sz val="9"/>
        <rFont val="맑은 고딕"/>
        <family val="0"/>
        <charset val="1"/>
      </rPr>
      <t xml:space="preserve">[R38] FIDIC Silver Book Cl.4.2 / </t>
    </r>
    <r>
      <rPr>
        <sz val="9"/>
        <rFont val="Noto Sans CJK SC"/>
        <family val="2"/>
      </rPr>
      <t xml:space="preserve">공공계약 참고 </t>
    </r>
    <r>
      <rPr>
        <sz val="9"/>
        <rFont val="맑은 고딕"/>
        <family val="0"/>
        <charset val="1"/>
      </rPr>
      <t xml:space="preserve">[R06]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50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계약보증금 </t>
    </r>
    <r>
      <rPr>
        <sz val="9"/>
        <rFont val="맑은 고딕"/>
        <family val="0"/>
        <charset val="1"/>
      </rPr>
      <t xml:space="preserve">10%), 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62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하자보수보증금 </t>
    </r>
    <r>
      <rPr>
        <sz val="9"/>
        <rFont val="맑은 고딕"/>
        <family val="0"/>
        <charset val="1"/>
      </rPr>
      <t xml:space="preserve">2~10%)</t>
    </r>
  </si>
  <si>
    <t xml:space="preserve">하자보증 기간</t>
  </si>
  <si>
    <t xml:space="preserve">기간·기산점, 수리부품 재보증 조항</t>
  </si>
  <si>
    <r>
      <rPr>
        <sz val="9"/>
        <rFont val="맑은 고딕"/>
        <family val="0"/>
        <charset val="1"/>
      </rPr>
      <t xml:space="preserve">[R38] FIDIC Silver Book Cl.11 (11.3 DNP </t>
    </r>
    <r>
      <rPr>
        <sz val="9"/>
        <rFont val="Noto Sans CJK SC"/>
        <family val="2"/>
      </rPr>
      <t xml:space="preserve">연장</t>
    </r>
    <r>
      <rPr>
        <sz val="9"/>
        <rFont val="맑은 고딕"/>
        <family val="0"/>
        <charset val="1"/>
      </rPr>
      <t xml:space="preserve">)</t>
    </r>
  </si>
  <si>
    <t xml:space="preserve">물가·환율 조정</t>
  </si>
  <si>
    <r>
      <rPr>
        <sz val="10"/>
        <rFont val="맑은 고딕"/>
        <family val="0"/>
        <charset val="1"/>
      </rPr>
      <t xml:space="preserve">Escalation </t>
    </r>
    <r>
      <rPr>
        <sz val="10"/>
        <rFont val="Noto Sans CJK SC"/>
        <family val="2"/>
      </rPr>
      <t xml:space="preserve">인정 여부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환율 리스크 부담 주체</t>
    </r>
  </si>
  <si>
    <r>
      <rPr>
        <sz val="9"/>
        <rFont val="맑은 고딕"/>
        <family val="0"/>
        <charset val="1"/>
      </rPr>
      <t xml:space="preserve">[R38] FIDIC Silver Book Cl.13.7 (</t>
    </r>
    <r>
      <rPr>
        <sz val="9"/>
        <rFont val="Noto Sans CJK SC"/>
        <family val="2"/>
      </rPr>
      <t xml:space="preserve">비용변동 조정</t>
    </r>
    <r>
      <rPr>
        <sz val="9"/>
        <rFont val="맑은 고딕"/>
        <family val="0"/>
        <charset val="1"/>
      </rPr>
      <t xml:space="preserve">)</t>
    </r>
  </si>
  <si>
    <t xml:space="preserve">설계변경</t>
  </si>
  <si>
    <t xml:space="preserve">변경 절차, 비용·공기 인정 방식</t>
  </si>
  <si>
    <r>
      <rPr>
        <sz val="9"/>
        <rFont val="맑은 고딕"/>
        <family val="0"/>
        <charset val="1"/>
      </rPr>
      <t xml:space="preserve">[R38] FIDIC Silver Book Cl.13 (13.3 </t>
    </r>
    <r>
      <rPr>
        <sz val="9"/>
        <rFont val="Noto Sans CJK SC"/>
        <family val="2"/>
      </rPr>
      <t xml:space="preserve">번호는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차 확인</t>
    </r>
    <r>
      <rPr>
        <sz val="9"/>
        <rFont val="맑은 고딕"/>
        <family val="0"/>
        <charset val="1"/>
      </rPr>
      <t xml:space="preserve">)</t>
    </r>
  </si>
  <si>
    <t xml:space="preserve">불가항력</t>
  </si>
  <si>
    <t xml:space="preserve">범위, 공기연장만인지 비용도 인정하는지</t>
  </si>
  <si>
    <r>
      <rPr>
        <sz val="9"/>
        <rFont val="맑은 고딕"/>
        <family val="0"/>
        <charset val="1"/>
      </rPr>
      <t xml:space="preserve">[R38] FIDIC Silver Book Cl.18 (</t>
    </r>
    <r>
      <rPr>
        <sz val="9"/>
        <rFont val="Noto Sans CJK SC"/>
        <family val="2"/>
      </rPr>
      <t xml:space="preserve">예외적 사건</t>
    </r>
    <r>
      <rPr>
        <sz val="9"/>
        <rFont val="맑은 고딕"/>
        <family val="0"/>
        <charset val="1"/>
      </rPr>
      <t xml:space="preserve">)</t>
    </r>
  </si>
  <si>
    <t xml:space="preserve">세금·관세</t>
  </si>
  <si>
    <t xml:space="preserve">부담 주체, 면세 여부, 해외 현지세</t>
  </si>
  <si>
    <r>
      <rPr>
        <sz val="9"/>
        <rFont val="맑은 고딕"/>
        <family val="0"/>
        <charset val="1"/>
      </rPr>
      <t xml:space="preserve">[R38] FIDIC Silver Book Cl.13.6 (</t>
    </r>
    <r>
      <rPr>
        <sz val="9"/>
        <rFont val="Noto Sans CJK SC"/>
        <family val="2"/>
      </rPr>
      <t xml:space="preserve">법령 변경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발주처 계약서 확인</t>
    </r>
  </si>
  <si>
    <t xml:space="preserve">보험</t>
  </si>
  <si>
    <t xml:space="preserve">시공사 부보 범위(CAR/EAR, 배상책임), 부보 금액</t>
  </si>
  <si>
    <t xml:space="preserve">발주처 계약서 보험 조항 확인 대상</t>
  </si>
  <si>
    <t xml:space="preserve">분쟁 해결</t>
  </si>
  <si>
    <t xml:space="preserve">준거법, 중재지, 언어</t>
  </si>
  <si>
    <t xml:space="preserve">[R38] FIDIC Silver Book Cl.21</t>
  </si>
  <si>
    <t xml:space="preserve">문서 우선순위</t>
  </si>
  <si>
    <t xml:space="preserve">사양서·도면·계약조건 상충 시 우선순위 조항</t>
  </si>
  <si>
    <t xml:space="preserve">[R38] FIDIC Silver Book Cl.1.5</t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</si>
  <si>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업무 범위서 </t>
    </r>
    <r>
      <rPr>
        <b val="true"/>
        <sz val="11"/>
        <rFont val="맑은 고딕"/>
        <family val="0"/>
        <charset val="1"/>
      </rPr>
      <t xml:space="preserve">(Scope of Work)</t>
    </r>
  </si>
  <si>
    <t xml:space="preserve">SOW</t>
  </si>
  <si>
    <t xml:space="preserve">업무 범위서</t>
  </si>
  <si>
    <t xml:space="preserve">Battery Limit</t>
  </si>
  <si>
    <t xml:space="preserve">범위 경계 명확화, Tie-in 포인트 수·위치</t>
  </si>
  <si>
    <t xml:space="preserve">발주처 공급품 (OFI)</t>
  </si>
  <si>
    <t xml:space="preserve">발주처 선발주 장납기품, 인수·보관 책임</t>
  </si>
  <si>
    <t xml:space="preserve">인허가 주체</t>
  </si>
  <si>
    <t xml:space="preserve">고압가스·PSM·환경·건축 인허가 담당 및 비용</t>
  </si>
  <si>
    <r>
      <rPr>
        <sz val="9"/>
        <rFont val="맑은 고딕"/>
        <family val="0"/>
        <charset val="1"/>
      </rPr>
      <t xml:space="preserve">[R04] </t>
    </r>
    <r>
      <rPr>
        <sz val="9"/>
        <rFont val="Noto Sans CJK SC"/>
        <family val="2"/>
      </rPr>
      <t xml:space="preserve">산안법 제</t>
    </r>
    <r>
      <rPr>
        <sz val="9"/>
        <rFont val="맑은 고딕"/>
        <family val="0"/>
        <charset val="1"/>
      </rPr>
      <t xml:space="preserve">44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(PSM), [R07] </t>
    </r>
    <r>
      <rPr>
        <sz val="9"/>
        <rFont val="Noto Sans CJK SC"/>
        <family val="2"/>
      </rPr>
      <t xml:space="preserve">고압가스법 제</t>
    </r>
    <r>
      <rPr>
        <sz val="9"/>
        <rFont val="맑은 고딕"/>
        <family val="0"/>
        <charset val="1"/>
      </rPr>
      <t xml:space="preserve">16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[R01] </t>
    </r>
    <r>
      <rPr>
        <sz val="9"/>
        <rFont val="Noto Sans CJK SC"/>
        <family val="2"/>
      </rPr>
      <t xml:space="preserve">위험물법 제</t>
    </r>
    <r>
      <rPr>
        <sz val="9"/>
        <rFont val="맑은 고딕"/>
        <family val="0"/>
        <charset val="1"/>
      </rPr>
      <t xml:space="preserve">8·9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[R03] </t>
    </r>
    <r>
      <rPr>
        <sz val="9"/>
        <rFont val="Noto Sans CJK SC"/>
        <family val="2"/>
      </rPr>
      <t xml:space="preserve">화관법 제</t>
    </r>
    <r>
      <rPr>
        <sz val="9"/>
        <rFont val="맑은 고딕"/>
        <family val="0"/>
        <charset val="1"/>
      </rPr>
      <t xml:space="preserve">23</t>
    </r>
    <r>
      <rPr>
        <sz val="9"/>
        <rFont val="Noto Sans CJK SC"/>
        <family val="2"/>
      </rPr>
      <t xml:space="preserve">조</t>
    </r>
  </si>
  <si>
    <t xml:space="preserve">시운전 범위</t>
  </si>
  <si>
    <t xml:space="preserve">기계적 준공 / 성능시험 / 상업운전 중 어디까지인지</t>
  </si>
  <si>
    <r>
      <rPr>
        <sz val="9"/>
        <rFont val="맑은 고딕"/>
        <family val="0"/>
        <charset val="1"/>
      </rPr>
      <t xml:space="preserve">[R38] FIDIC Silver Book Cl.9 </t>
    </r>
    <r>
      <rPr>
        <sz val="9"/>
        <rFont val="Noto Sans CJK SC"/>
        <family val="2"/>
      </rPr>
      <t xml:space="preserve">준공시험 </t>
    </r>
    <r>
      <rPr>
        <sz val="9"/>
        <rFont val="맑은 고딕"/>
        <family val="0"/>
        <charset val="1"/>
      </rPr>
      <t xml:space="preserve">/ Cl.12 </t>
    </r>
    <r>
      <rPr>
        <sz val="9"/>
        <rFont val="Noto Sans CJK SC"/>
        <family val="2"/>
      </rPr>
      <t xml:space="preserve">준공후시험</t>
    </r>
  </si>
  <si>
    <t xml:space="preserve">교육·예비품·매뉴얼</t>
  </si>
  <si>
    <t xml:space="preserve">교육 범위, 시운전용/2년 운전용 예비품, O&amp;M 매뉴얼</t>
  </si>
  <si>
    <t xml:space="preserve">모호한 표현</t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</si>
  <si>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필요 시</t>
    </r>
    <r>
      <rPr>
        <sz val="10"/>
        <rFont val="맑은 고딕"/>
        <family val="0"/>
        <charset val="1"/>
      </rPr>
      <t xml:space="preserve">', '</t>
    </r>
    <r>
      <rPr>
        <sz val="10"/>
        <rFont val="Noto Sans CJK SC"/>
        <family val="2"/>
      </rPr>
      <t xml:space="preserve">일체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문구 → 질의로 범위 확정</t>
    </r>
  </si>
  <si>
    <t xml:space="preserve">Scope Matrix</t>
  </si>
  <si>
    <t xml:space="preserve">발주처/시공사 책임 구분표 작성 및 누락 점검</t>
  </si>
  <si>
    <r>
      <rPr>
        <b val="true"/>
        <sz val="11"/>
        <rFont val="맑은 고딕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기본설계 패키지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기술사양 </t>
    </r>
    <r>
      <rPr>
        <b val="true"/>
        <sz val="11"/>
        <rFont val="맑은 고딕"/>
        <family val="0"/>
        <charset val="1"/>
      </rPr>
      <t xml:space="preserve">(BEDP/FEED/Spec)</t>
    </r>
  </si>
  <si>
    <t xml:space="preserve">FEED/Spec</t>
  </si>
  <si>
    <r>
      <rPr>
        <sz val="10"/>
        <rFont val="맑은 고딕"/>
        <family val="0"/>
        <charset val="1"/>
      </rPr>
      <t xml:space="preserve">FEED·</t>
    </r>
    <r>
      <rPr>
        <sz val="10"/>
        <rFont val="Noto Sans CJK SC"/>
        <family val="2"/>
      </rPr>
      <t xml:space="preserve">기술사양서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도면</t>
    </r>
  </si>
  <si>
    <t xml:space="preserve">설계 완성도</t>
  </si>
  <si>
    <r>
      <rPr>
        <sz val="10"/>
        <rFont val="맑은 고딕"/>
        <family val="0"/>
        <charset val="1"/>
      </rPr>
      <t xml:space="preserve">FEED </t>
    </r>
    <r>
      <rPr>
        <sz val="10"/>
        <rFont val="Noto Sans CJK SC"/>
        <family val="2"/>
      </rPr>
      <t xml:space="preserve">수준 → 물량 정확도 및 예비비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할증률 결정</t>
    </r>
  </si>
  <si>
    <r>
      <rPr>
        <sz val="9"/>
        <rFont val="맑은 고딕"/>
        <family val="0"/>
        <charset val="1"/>
      </rPr>
      <t xml:space="preserve">[R29] AACE 18R-97 </t>
    </r>
    <r>
      <rPr>
        <sz val="9"/>
        <rFont val="Noto Sans CJK SC"/>
        <family val="2"/>
      </rPr>
      <t xml:space="preserve">견적 등급 </t>
    </r>
    <r>
      <rPr>
        <sz val="9"/>
        <rFont val="맑은 고딕"/>
        <family val="0"/>
        <charset val="1"/>
      </rPr>
      <t xml:space="preserve">(Class 3: </t>
    </r>
    <r>
      <rPr>
        <sz val="9"/>
        <rFont val="Noto Sans CJK SC"/>
        <family val="2"/>
      </rPr>
      <t xml:space="preserve">정의도 </t>
    </r>
    <r>
      <rPr>
        <sz val="9"/>
        <rFont val="맑은 고딕"/>
        <family val="0"/>
        <charset val="1"/>
      </rPr>
      <t xml:space="preserve">10~40%, </t>
    </r>
    <r>
      <rPr>
        <sz val="9"/>
        <rFont val="Noto Sans CJK SC"/>
        <family val="2"/>
      </rPr>
      <t xml:space="preserve">정확도 </t>
    </r>
    <r>
      <rPr>
        <sz val="9"/>
        <rFont val="맑은 고딕"/>
        <family val="0"/>
        <charset val="1"/>
      </rPr>
      <t xml:space="preserve">-10~-20%/+10~+30%)</t>
    </r>
  </si>
  <si>
    <t xml:space="preserve">라이선서</t>
  </si>
  <si>
    <t xml:space="preserve">라이선스 비용, 공정 성능보증 책임 구분</t>
  </si>
  <si>
    <t xml:space="preserve">적용 코드·표준</t>
  </si>
  <si>
    <r>
      <rPr>
        <sz val="10"/>
        <rFont val="맑은 고딕"/>
        <family val="0"/>
        <charset val="1"/>
      </rPr>
      <t xml:space="preserve">ASME, API, KGS, KS, </t>
    </r>
    <r>
      <rPr>
        <sz val="10"/>
        <rFont val="Noto Sans CJK SC"/>
        <family val="2"/>
      </rPr>
      <t xml:space="preserve">발주처 자체 표준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상향 요구 여부</t>
    </r>
    <r>
      <rPr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</si>
  <si>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[R12] ASME B31.3-2024, [R32] API 650 14th, [R11] KGS Code(</t>
    </r>
    <r>
      <rPr>
        <sz val="9"/>
        <rFont val="Noto Sans CJK SC"/>
        <family val="2"/>
      </rPr>
      <t xml:space="preserve">명칭 미확인</t>
    </r>
    <r>
      <rPr>
        <sz val="9"/>
        <rFont val="맑은 고딕"/>
        <family val="0"/>
        <charset val="1"/>
      </rPr>
      <t xml:space="preserve">)</t>
    </r>
  </si>
  <si>
    <t xml:space="preserve">재질·설계 마진</t>
  </si>
  <si>
    <t xml:space="preserve">재질 등급, 부식 여유, 설계 마진 상향 여부</t>
  </si>
  <si>
    <t xml:space="preserve">[R13] MR0175, [R14] MR0103, [R15] API RP 941, [R16] API RP 571</t>
  </si>
  <si>
    <t xml:space="preserve">검사 요건</t>
  </si>
  <si>
    <r>
      <rPr>
        <sz val="10"/>
        <rFont val="맑은 고딕"/>
        <family val="0"/>
        <charset val="1"/>
      </rPr>
      <t xml:space="preserve">RT </t>
    </r>
    <r>
      <rPr>
        <sz val="10"/>
        <rFont val="Noto Sans CJK SC"/>
        <family val="2"/>
      </rPr>
      <t xml:space="preserve">비율</t>
    </r>
    <r>
      <rPr>
        <sz val="10"/>
        <rFont val="맑은 고딕"/>
        <family val="0"/>
        <charset val="1"/>
      </rPr>
      <t xml:space="preserve">, PWHT, PMI, 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자 검사 입회</t>
    </r>
  </si>
  <si>
    <r>
      <rPr>
        <sz val="9"/>
        <rFont val="맑은 고딕"/>
        <family val="0"/>
        <charset val="1"/>
      </rPr>
      <t xml:space="preserve">[R12] ASME B31.3 341.4 (Normal 5% </t>
    </r>
    <r>
      <rPr>
        <sz val="9"/>
        <rFont val="Noto Sans CJK SC"/>
        <family val="2"/>
      </rPr>
      <t xml:space="preserve">랜덤</t>
    </r>
    <r>
      <rPr>
        <sz val="9"/>
        <rFont val="맑은 고딕"/>
        <family val="0"/>
        <charset val="1"/>
      </rPr>
      <t xml:space="preserve">), Table 331.1.1 (PWHT)</t>
    </r>
  </si>
  <si>
    <t xml:space="preserve">도장·보온·내진</t>
  </si>
  <si>
    <t xml:space="preserve">도장 사양(도막 두께·층수), 보온·보냉, 내진 기준</t>
  </si>
  <si>
    <r>
      <rPr>
        <sz val="9"/>
        <rFont val="맑은 고딕"/>
        <family val="0"/>
        <charset val="1"/>
      </rPr>
      <t xml:space="preserve">[R28] ISO 8501-1 (</t>
    </r>
    <r>
      <rPr>
        <sz val="9"/>
        <rFont val="Noto Sans CJK SC"/>
        <family val="2"/>
      </rPr>
      <t xml:space="preserve">표면처리</t>
    </r>
    <r>
      <rPr>
        <sz val="9"/>
        <rFont val="맑은 고딕"/>
        <family val="0"/>
        <charset val="1"/>
      </rPr>
      <t xml:space="preserve">), [R10] KDS 41 17 00 19.6 (</t>
    </r>
    <r>
      <rPr>
        <sz val="9"/>
        <rFont val="Noto Sans CJK SC"/>
        <family val="2"/>
      </rPr>
      <t xml:space="preserve">탱크 내진</t>
    </r>
    <r>
      <rPr>
        <sz val="9"/>
        <rFont val="맑은 고딕"/>
        <family val="0"/>
        <charset val="1"/>
      </rPr>
      <t xml:space="preserve">)</t>
    </r>
  </si>
  <si>
    <t xml:space="preserve">P&amp;ID / PFD</t>
  </si>
  <si>
    <t xml:space="preserve">기기 수, 라인 수, 계장 Loop 수 → 물량 산출 근거</t>
  </si>
  <si>
    <t xml:space="preserve">Plot Plan</t>
  </si>
  <si>
    <t xml:space="preserve">배관 길이, 파이프랙 규모, 도로·배수 범위</t>
  </si>
  <si>
    <r>
      <rPr>
        <b val="true"/>
        <sz val="11"/>
        <rFont val="맑은 고딕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기기목록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데이터시트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벤더리스트</t>
    </r>
  </si>
  <si>
    <t xml:space="preserve">기자재</t>
  </si>
  <si>
    <t xml:space="preserve">기기목록·데이터시트·AVL</t>
  </si>
  <si>
    <t xml:space="preserve">장납기 기기 식별</t>
  </si>
  <si>
    <t xml:space="preserve">압축기·반응기·변압기 등 납기 vs 요구 공기</t>
  </si>
  <si>
    <t xml:space="preserve">승인 벤더 리스트 (AVL)</t>
  </si>
  <si>
    <t xml:space="preserve">지정 벤더 한정 시 경쟁 견적 제약·단가 상승</t>
  </si>
  <si>
    <t xml:space="preserve">국산 vs 해외 구매</t>
  </si>
  <si>
    <t xml:space="preserve">환율·운송·관세 반영 대상 구분</t>
  </si>
  <si>
    <t xml:space="preserve">벤더 견적 조건</t>
  </si>
  <si>
    <t xml:space="preserve">최소 2~3사, FOB/CIF·납기·유효기간 통일</t>
  </si>
  <si>
    <t xml:space="preserve">벌크 물량 할증</t>
  </si>
  <si>
    <r>
      <rPr>
        <sz val="10"/>
        <rFont val="맑은 고딕"/>
        <family val="0"/>
        <charset val="1"/>
      </rPr>
      <t xml:space="preserve">MTO Allowance(FEED </t>
    </r>
    <r>
      <rPr>
        <sz val="10"/>
        <rFont val="Noto Sans CJK SC"/>
        <family val="2"/>
      </rPr>
      <t xml:space="preserve">수준별 </t>
    </r>
    <r>
      <rPr>
        <sz val="10"/>
        <rFont val="맑은 고딕"/>
        <family val="0"/>
        <charset val="1"/>
      </rPr>
      <t xml:space="preserve">5~15% </t>
    </r>
    <r>
      <rPr>
        <sz val="10"/>
        <rFont val="Noto Sans CJK SC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</si>
  <si>
    <t xml:space="preserve">실무 관행 (FEED 수준과 연동: [R29] AACE 18R-97 참고)</t>
  </si>
  <si>
    <r>
      <rPr>
        <sz val="10"/>
        <rFont val="맑은 고딕"/>
        <family val="0"/>
        <charset val="1"/>
      </rPr>
      <t xml:space="preserve">FAT·</t>
    </r>
    <r>
      <rPr>
        <sz val="10"/>
        <rFont val="Noto Sans CJK SC"/>
        <family val="2"/>
      </rPr>
      <t xml:space="preserve">도면 승인</t>
    </r>
  </si>
  <si>
    <t xml:space="preserve">공장검사 입회, 벤더도면 승인 절차·회수</t>
  </si>
  <si>
    <r>
      <rPr>
        <sz val="9"/>
        <rFont val="맑은 고딕"/>
        <family val="0"/>
        <charset val="1"/>
      </rPr>
      <t xml:space="preserve">[R17] API 598 (</t>
    </r>
    <r>
      <rPr>
        <sz val="9"/>
        <rFont val="Noto Sans CJK SC"/>
        <family val="2"/>
      </rPr>
      <t xml:space="preserve">밸브 시험</t>
    </r>
    <r>
      <rPr>
        <sz val="9"/>
        <rFont val="맑은 고딕"/>
        <family val="0"/>
        <charset val="1"/>
      </rPr>
      <t xml:space="preserve">), [R21] EN 10204 3.1/3.2</t>
    </r>
  </si>
  <si>
    <r>
      <rPr>
        <b val="true"/>
        <sz val="11"/>
        <rFont val="맑은 고딕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현장 조건 자료 </t>
    </r>
    <r>
      <rPr>
        <b val="true"/>
        <sz val="11"/>
        <rFont val="맑은 고딕"/>
        <family val="0"/>
        <charset val="1"/>
      </rPr>
      <t xml:space="preserve">(Site Data)</t>
    </r>
  </si>
  <si>
    <t xml:space="preserve">현장</t>
  </si>
  <si>
    <t xml:space="preserve">현장조건 자료·지반조사</t>
  </si>
  <si>
    <t xml:space="preserve">지반조사</t>
  </si>
  <si>
    <t xml:space="preserve">파일 필요 여부, 지하수위, 연약지반 → 토목비 좌우</t>
  </si>
  <si>
    <r>
      <rPr>
        <sz val="9"/>
        <rFont val="맑은 고딕"/>
        <family val="0"/>
        <charset val="1"/>
      </rPr>
      <t xml:space="preserve">[R32] API 650 Annex B (</t>
    </r>
    <r>
      <rPr>
        <sz val="9"/>
        <rFont val="Noto Sans CJK SC"/>
        <family val="2"/>
      </rPr>
      <t xml:space="preserve">탱크 기초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프로젝트 지반조사 보고서</t>
    </r>
  </si>
  <si>
    <t xml:space="preserve">기상</t>
  </si>
  <si>
    <t xml:space="preserve">우기·혹한기 작업 불가 일수</t>
  </si>
  <si>
    <t xml:space="preserve">운송 경로</t>
  </si>
  <si>
    <t xml:space="preserve">중량물 도로·항만 운송 가능 여부, 특수운송 비용</t>
  </si>
  <si>
    <t xml:space="preserve">가설·유틸리티</t>
  </si>
  <si>
    <t xml:space="preserve">가설 용지, 공사용 전기·용수 공급</t>
  </si>
  <si>
    <r>
      <rPr>
        <sz val="10"/>
        <rFont val="맑은 고딕"/>
        <family val="0"/>
        <charset val="1"/>
      </rPr>
      <t xml:space="preserve">Brownfield </t>
    </r>
    <r>
      <rPr>
        <sz val="10"/>
        <rFont val="Noto Sans CJK SC"/>
        <family val="2"/>
      </rPr>
      <t xml:space="preserve">조건</t>
    </r>
  </si>
  <si>
    <t xml:space="preserve">작업허가, 화기작업 제한, Shutdown 기간 → 생산성 저하 반영</t>
  </si>
  <si>
    <r>
      <rPr>
        <sz val="9"/>
        <rFont val="맑은 고딕"/>
        <family val="0"/>
        <charset val="1"/>
      </rPr>
      <t xml:space="preserve">[R09] KOSHA GUIDE P-94-2019 </t>
    </r>
    <r>
      <rPr>
        <sz val="9"/>
        <rFont val="Noto Sans CJK SC"/>
        <family val="2"/>
      </rPr>
      <t xml:space="preserve">안전작업허가</t>
    </r>
    <r>
      <rPr>
        <sz val="9"/>
        <rFont val="맑은 고딕"/>
        <family val="0"/>
        <charset val="1"/>
      </rPr>
      <t xml:space="preserve">, [R22] API RP 2201 Hot Tapping</t>
    </r>
  </si>
  <si>
    <t xml:space="preserve">지장물·오염토</t>
  </si>
  <si>
    <t xml:space="preserve">처리 책임 주체</t>
  </si>
  <si>
    <t xml:space="preserve">노무 여건</t>
  </si>
  <si>
    <t xml:space="preserve">지역 노임, 숙련공 수급, 근로시간 규제</t>
  </si>
  <si>
    <r>
      <rPr>
        <b val="true"/>
        <sz val="11"/>
        <rFont val="맑은 고딕"/>
        <family val="0"/>
        <charset val="1"/>
      </rPr>
      <t xml:space="preserve">8. </t>
    </r>
    <r>
      <rPr>
        <b val="true"/>
        <sz val="11"/>
        <rFont val="Noto Sans CJK SC"/>
        <family val="2"/>
      </rPr>
      <t xml:space="preserve">공정 일정 </t>
    </r>
    <r>
      <rPr>
        <b val="true"/>
        <sz val="11"/>
        <rFont val="맑은 고딕"/>
        <family val="0"/>
        <charset val="1"/>
      </rPr>
      <t xml:space="preserve">(Schedule)</t>
    </r>
  </si>
  <si>
    <t xml:space="preserve">공정표·마일스톤</t>
  </si>
  <si>
    <t xml:space="preserve">요구 공기 현실성</t>
  </si>
  <si>
    <t xml:space="preserve">장납기 기자재 납기 대비 검토</t>
  </si>
  <si>
    <t xml:space="preserve">중간 마일스톤 LD</t>
  </si>
  <si>
    <t xml:space="preserve">마일스톤별 LD 연동 여부</t>
  </si>
  <si>
    <t xml:space="preserve">[R38] FIDIC Silver Book Cl.8.8</t>
  </si>
  <si>
    <t xml:space="preserve">돌관 작업</t>
  </si>
  <si>
    <t xml:space="preserve">야간·휴일 작업, 인력 피크 비용 반영</t>
  </si>
  <si>
    <r>
      <rPr>
        <b val="true"/>
        <sz val="11"/>
        <rFont val="맑은 고딕"/>
        <family val="0"/>
        <charset val="1"/>
      </rPr>
      <t xml:space="preserve">9. </t>
    </r>
    <r>
      <rPr>
        <b val="true"/>
        <sz val="11"/>
        <rFont val="Noto Sans CJK SC"/>
        <family val="2"/>
      </rPr>
      <t xml:space="preserve">가격 제출 양식 </t>
    </r>
    <r>
      <rPr>
        <b val="true"/>
        <sz val="11"/>
        <rFont val="맑은 고딕"/>
        <family val="0"/>
        <charset val="1"/>
      </rPr>
      <t xml:space="preserve">(Price Schedule/BOQ)</t>
    </r>
  </si>
  <si>
    <t xml:space="preserve">가격양식</t>
  </si>
  <si>
    <t xml:space="preserve">Price Schedule</t>
  </si>
  <si>
    <t xml:space="preserve">지정 분류 체계</t>
  </si>
  <si>
    <t xml:space="preserve">내부 견적 구조 → 발주처 양식 매핑</t>
  </si>
  <si>
    <t xml:space="preserve">단가 공개 범위</t>
  </si>
  <si>
    <t xml:space="preserve">단가가 변경계약 기준이 될 수 있음 → 배분 전략</t>
  </si>
  <si>
    <t xml:space="preserve">옵션·잠정금액</t>
  </si>
  <si>
    <r>
      <rPr>
        <sz val="10"/>
        <rFont val="맑은 고딕"/>
        <family val="0"/>
        <charset val="1"/>
      </rPr>
      <t xml:space="preserve">Option Price, Provisional Sum </t>
    </r>
    <r>
      <rPr>
        <sz val="10"/>
        <rFont val="Noto Sans CJK SC"/>
        <family val="2"/>
      </rPr>
      <t xml:space="preserve">항목 처리</t>
    </r>
  </si>
  <si>
    <r>
      <rPr>
        <b val="true"/>
        <sz val="11"/>
        <rFont val="맑은 고딕"/>
        <family val="0"/>
        <charset val="1"/>
      </rPr>
      <t xml:space="preserve">10. HSE · </t>
    </r>
    <r>
      <rPr>
        <b val="true"/>
        <sz val="11"/>
        <rFont val="Noto Sans CJK SC"/>
        <family val="2"/>
      </rPr>
      <t xml:space="preserve">품질</t>
    </r>
  </si>
  <si>
    <t xml:space="preserve">HSE/QA</t>
  </si>
  <si>
    <r>
      <rPr>
        <sz val="10"/>
        <rFont val="맑은 고딕"/>
        <family val="0"/>
        <charset val="1"/>
      </rPr>
      <t xml:space="preserve">HSE·</t>
    </r>
    <r>
      <rPr>
        <sz val="10"/>
        <rFont val="Noto Sans CJK SC"/>
        <family val="2"/>
      </rPr>
      <t xml:space="preserve">품질 요구서</t>
    </r>
  </si>
  <si>
    <t xml:space="preserve">안전 요구</t>
  </si>
  <si>
    <t xml:space="preserve">안전 인력 배치 기준, 출입·교육 절차</t>
  </si>
  <si>
    <r>
      <rPr>
        <sz val="9"/>
        <rFont val="맑은 고딕"/>
        <family val="0"/>
        <charset val="1"/>
      </rPr>
      <t xml:space="preserve">[R05] </t>
    </r>
    <r>
      <rPr>
        <sz val="9"/>
        <rFont val="Noto Sans CJK SC"/>
        <family val="2"/>
      </rPr>
      <t xml:space="preserve">고용노동부고시 제</t>
    </r>
    <r>
      <rPr>
        <sz val="9"/>
        <rFont val="맑은 고딕"/>
        <family val="0"/>
        <charset val="1"/>
      </rPr>
      <t xml:space="preserve">2025-11</t>
    </r>
    <r>
      <rPr>
        <sz val="9"/>
        <rFont val="Noto Sans CJK SC"/>
        <family val="2"/>
      </rPr>
      <t xml:space="preserve">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산안비 요율</t>
    </r>
    <r>
      <rPr>
        <sz val="9"/>
        <rFont val="맑은 고딕"/>
        <family val="0"/>
        <charset val="1"/>
      </rPr>
      <t xml:space="preserve">), [R04] </t>
    </r>
    <r>
      <rPr>
        <sz val="9"/>
        <rFont val="Noto Sans CJK SC"/>
        <family val="2"/>
      </rPr>
      <t xml:space="preserve">산안법 </t>
    </r>
    <r>
      <rPr>
        <sz val="9"/>
        <rFont val="맑은 고딕"/>
        <family val="0"/>
        <charset val="1"/>
      </rPr>
      <t xml:space="preserve">PSM</t>
    </r>
  </si>
  <si>
    <t xml:space="preserve">품질 요구</t>
  </si>
  <si>
    <r>
      <rPr>
        <sz val="10"/>
        <rFont val="맑은 고딕"/>
        <family val="0"/>
        <charset val="1"/>
      </rPr>
      <t xml:space="preserve">ISO </t>
    </r>
    <r>
      <rPr>
        <sz val="10"/>
        <rFont val="Noto Sans CJK SC"/>
        <family val="2"/>
      </rPr>
      <t xml:space="preserve">인증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품질문서 제출 범위</t>
    </r>
    <r>
      <rPr>
        <sz val="10"/>
        <rFont val="맑은 고딕"/>
        <family val="0"/>
        <charset val="1"/>
      </rPr>
      <t xml:space="preserve">, ITP</t>
    </r>
  </si>
  <si>
    <t xml:space="preserve">환경 관리</t>
  </si>
  <si>
    <t xml:space="preserve">소음·비산먼지·폐기물 관리 요구</t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</si>
  <si>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 (VOC)</t>
    </r>
  </si>
  <si>
    <r>
      <rPr>
        <b val="true"/>
        <sz val="11"/>
        <rFont val="맑은 고딕"/>
        <family val="0"/>
        <charset val="1"/>
      </rPr>
      <t xml:space="preserve">11. </t>
    </r>
    <r>
      <rPr>
        <b val="true"/>
        <sz val="11"/>
        <rFont val="Noto Sans CJK SC"/>
        <family val="2"/>
      </rPr>
      <t xml:space="preserve">견적 산출 검토</t>
    </r>
  </si>
  <si>
    <t xml:space="preserve">견적</t>
  </si>
  <si>
    <t xml:space="preserve">내부 견적서</t>
  </si>
  <si>
    <t xml:space="preserve">설계 MH 검증</t>
  </si>
  <si>
    <t xml:space="preserve">공종별 MH를 과거 유사 프로젝트 실적과 비교</t>
  </si>
  <si>
    <t xml:space="preserve">회사 실적 데이터 (공수 참고서: [R30] Page, Estimator's Piping Man-Hour Manual)</t>
  </si>
  <si>
    <t xml:space="preserve">외부 용역 누락</t>
  </si>
  <si>
    <r>
      <rPr>
        <sz val="10"/>
        <rFont val="맑은 고딕"/>
        <family val="0"/>
        <charset val="1"/>
      </rPr>
      <t xml:space="preserve">HAZOP, SIL, </t>
    </r>
    <r>
      <rPr>
        <sz val="10"/>
        <rFont val="Noto Sans CJK SC"/>
        <family val="2"/>
      </rPr>
      <t xml:space="preserve">인허가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측량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추가 지반조사</t>
    </r>
  </si>
  <si>
    <t xml:space="preserve">현장 간접비</t>
  </si>
  <si>
    <r>
      <rPr>
        <sz val="10"/>
        <rFont val="맑은 고딕"/>
        <family val="0"/>
        <charset val="1"/>
      </rPr>
      <t xml:space="preserve">Manpower Histogram </t>
    </r>
    <r>
      <rPr>
        <sz val="10"/>
        <rFont val="Noto Sans CJK SC"/>
        <family val="2"/>
      </rPr>
      <t xml:space="preserve">기반 관리인원 산정</t>
    </r>
  </si>
  <si>
    <t xml:space="preserve">금융비용</t>
  </si>
  <si>
    <t xml:space="preserve">지급조건에 따른 마이너스 현금흐름 구간</t>
  </si>
  <si>
    <t xml:space="preserve">리스크 등록부</t>
  </si>
  <si>
    <t xml:space="preserve">발생확률 × 영향도로 예비비 근거 마련</t>
  </si>
  <si>
    <r>
      <rPr>
        <sz val="9"/>
        <rFont val="맑은 고딕"/>
        <family val="0"/>
        <charset val="1"/>
      </rPr>
      <t xml:space="preserve">[R29] AACE 18R-97 (</t>
    </r>
    <r>
      <rPr>
        <sz val="9"/>
        <rFont val="Noto Sans CJK SC"/>
        <family val="2"/>
      </rPr>
      <t xml:space="preserve">견적 등급별 정확도</t>
    </r>
    <r>
      <rPr>
        <sz val="9"/>
        <rFont val="맑은 고딕"/>
        <family val="0"/>
        <charset val="1"/>
      </rPr>
      <t xml:space="preserve">) + </t>
    </r>
    <r>
      <rPr>
        <sz val="9"/>
        <rFont val="Noto Sans CJK SC"/>
        <family val="2"/>
      </rPr>
      <t xml:space="preserve">회사 리스크 관리 기준</t>
    </r>
  </si>
  <si>
    <t xml:space="preserve">환율 헤지</t>
  </si>
  <si>
    <t xml:space="preserve">헤지 비용 반영 또는 환율 조건 명시</t>
  </si>
  <si>
    <r>
      <rPr>
        <b val="true"/>
        <sz val="11"/>
        <rFont val="맑은 고딕"/>
        <family val="0"/>
        <charset val="1"/>
      </rPr>
      <t xml:space="preserve">12. </t>
    </r>
    <r>
      <rPr>
        <b val="true"/>
        <sz val="11"/>
        <rFont val="Noto Sans CJK SC"/>
        <family val="2"/>
      </rPr>
      <t xml:space="preserve">제출 전 최종 점검</t>
    </r>
  </si>
  <si>
    <t xml:space="preserve">최종</t>
  </si>
  <si>
    <t xml:space="preserve">제출 패키지</t>
  </si>
  <si>
    <r>
      <rPr>
        <sz val="10"/>
        <rFont val="맑은 고딕"/>
        <family val="0"/>
        <charset val="1"/>
      </rPr>
      <t xml:space="preserve">Deviation·Assumption </t>
    </r>
    <r>
      <rPr>
        <sz val="10"/>
        <rFont val="Noto Sans CJK SC"/>
        <family val="2"/>
      </rPr>
      <t xml:space="preserve">목록</t>
    </r>
  </si>
  <si>
    <t xml:space="preserve">예외·가정사항 명확히 작성 ('조건_제외사항' 시트)</t>
  </si>
  <si>
    <r>
      <rPr>
        <sz val="9"/>
        <rFont val="맑은 고딕"/>
        <family val="0"/>
        <charset val="1"/>
      </rPr>
      <t xml:space="preserve">[R38] FIDIC Silver Book Cl.1.5 (</t>
    </r>
    <r>
      <rPr>
        <sz val="9"/>
        <rFont val="Noto Sans CJK SC"/>
        <family val="2"/>
      </rPr>
      <t xml:space="preserve">문서 우선순위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발주처 </t>
    </r>
    <r>
      <rPr>
        <sz val="9"/>
        <rFont val="맑은 고딕"/>
        <family val="0"/>
        <charset val="1"/>
      </rPr>
      <t xml:space="preserve">ITB</t>
    </r>
  </si>
  <si>
    <t xml:space="preserve">수식·단위 검토</t>
  </si>
  <si>
    <t xml:space="preserve">단위·통화·환율 기준일 일관성, 수식 오류</t>
  </si>
  <si>
    <t xml:space="preserve">경영진 Bid Review</t>
  </si>
  <si>
    <t xml:space="preserve">이윤·예비비 최종 결정, 승인 기록</t>
  </si>
  <si>
    <t xml:space="preserve">제출 형식</t>
  </si>
  <si>
    <t xml:space="preserve">지정 양식, 서명·날인, 제출 부수·방법</t>
  </si>
  <si>
    <t xml:space="preserve">석유화학 · 배관 중점 체크리스트</t>
  </si>
  <si>
    <t xml:space="preserve">기본 '입찰 체크리스트'에 더해 석유화학 플랜트와 배관 공사에서 비용·공기 누락이 잦은 항목. 영향도: 상(견적 크게 좌우)/중/하</t>
  </si>
  <si>
    <t xml:space="preserve">영향도 '상'</t>
  </si>
  <si>
    <t xml:space="preserve">완료율 (해당없음 제외)</t>
  </si>
  <si>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상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Noto Sans CJK SC"/>
        <family val="2"/>
      </rPr>
      <t xml:space="preserve">항목 완료</t>
    </r>
  </si>
  <si>
    <t xml:space="preserve">분야</t>
  </si>
  <si>
    <t xml:space="preserve">확인 포인트 / 누락 시 리스크</t>
  </si>
  <si>
    <t xml:space="preserve">영향도</t>
  </si>
  <si>
    <t xml:space="preserve">견적 반영 위치</t>
  </si>
  <si>
    <r>
      <rPr>
        <b val="true"/>
        <sz val="11"/>
        <rFont val="맑은 고딕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석유화학 공정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법규 특성</t>
    </r>
  </si>
  <si>
    <t xml:space="preserve">공정</t>
  </si>
  <si>
    <t xml:space="preserve">공정 라이선서 요구사항</t>
  </si>
  <si>
    <t xml:space="preserve">라이선서 표준·검토 절차, 라이선서 승인 필요 도면 범위 → 설계 MH·일정</t>
  </si>
  <si>
    <t xml:space="preserve">중</t>
  </si>
  <si>
    <t xml:space="preserve">E</t>
  </si>
  <si>
    <t xml:space="preserve">조건명시</t>
  </si>
  <si>
    <t xml:space="preserve">김배관</t>
  </si>
  <si>
    <r>
      <rPr>
        <sz val="10"/>
        <color rgb="FF0000FF"/>
        <rFont val="맑은 고딕"/>
        <family val="0"/>
        <charset val="1"/>
      </rPr>
      <t xml:space="preserve">Spec Sec.4 Sour </t>
    </r>
    <r>
      <rPr>
        <sz val="10"/>
        <color rgb="FF0000FF"/>
        <rFont val="Noto Sans CJK SC"/>
        <family val="2"/>
      </rPr>
      <t xml:space="preserve">서비스 대상 라인 질의 예정</t>
    </r>
  </si>
  <si>
    <t xml:space="preserve">라이선서 계약·설계 패키지 확인 대상</t>
  </si>
  <si>
    <t xml:space="preserve">고온 수소 · 부식 환경</t>
  </si>
  <si>
    <r>
      <rPr>
        <sz val="10"/>
        <rFont val="맑은 고딕"/>
        <family val="0"/>
        <charset val="1"/>
      </rPr>
      <t xml:space="preserve">HTHA(Nelson Curve), Sour(H2S) </t>
    </r>
    <r>
      <rPr>
        <sz val="10"/>
        <rFont val="Noto Sans CJK SC"/>
        <family val="2"/>
      </rPr>
      <t xml:space="preserve">서비스 </t>
    </r>
    <r>
      <rPr>
        <sz val="10"/>
        <rFont val="맑은 고딕"/>
        <family val="0"/>
        <charset val="1"/>
      </rPr>
      <t xml:space="preserve">NACE MR0175/MR0103, </t>
    </r>
    <r>
      <rPr>
        <sz val="10"/>
        <rFont val="Noto Sans CJK SC"/>
        <family val="2"/>
      </rPr>
      <t xml:space="preserve">염화물 응력부식 → 재질 상향</t>
    </r>
  </si>
  <si>
    <t xml:space="preserve">상</t>
  </si>
  <si>
    <t xml:space="preserve">P / C</t>
  </si>
  <si>
    <t xml:space="preserve">[R15] API RP 941 8th (Nelson Curve), [R13] MR0175-2021, [R14] MR0103-2015, [R16] API RP 571 3rd</t>
  </si>
  <si>
    <t xml:space="preserve">저온·극저온 서비스</t>
  </si>
  <si>
    <t xml:space="preserve">에틸렌·프로필렌 등 저온 라인: 충격시험(Impact Test) 재질, LTCS/SS 적용</t>
  </si>
  <si>
    <r>
      <rPr>
        <sz val="9"/>
        <rFont val="맑은 고딕"/>
        <family val="0"/>
        <charset val="1"/>
      </rPr>
      <t xml:space="preserve">[R12] ASME B31.3 323.2.2 / 323.3 (</t>
    </r>
    <r>
      <rPr>
        <sz val="9"/>
        <rFont val="Noto Sans CJK SC"/>
        <family val="2"/>
      </rPr>
      <t xml:space="preserve">저온 충격시험</t>
    </r>
    <r>
      <rPr>
        <sz val="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</si>
  <si>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Fouling · </t>
    </r>
    <r>
      <rPr>
        <sz val="10"/>
        <rFont val="Noto Sans CJK SC"/>
        <family val="2"/>
      </rPr>
      <t xml:space="preserve">폴리머 서비스</t>
    </r>
  </si>
  <si>
    <t xml:space="preserve">플러싱 연결부, 청소용 플랜지, Jacketed 배관 필요 여부</t>
  </si>
  <si>
    <t xml:space="preserve">E / C</t>
  </si>
  <si>
    <r>
      <rPr>
        <sz val="10"/>
        <rFont val="맑은 고딕"/>
        <family val="0"/>
        <charset val="1"/>
      </rPr>
      <t xml:space="preserve">Flare · Relief </t>
    </r>
    <r>
      <rPr>
        <sz val="10"/>
        <rFont val="Noto Sans CJK SC"/>
        <family val="2"/>
      </rPr>
      <t xml:space="preserve">시스템</t>
    </r>
  </si>
  <si>
    <r>
      <rPr>
        <sz val="10"/>
        <rFont val="맑은 고딕"/>
        <family val="0"/>
        <charset val="1"/>
      </rPr>
      <t xml:space="preserve">PSV </t>
    </r>
    <r>
      <rPr>
        <sz val="10"/>
        <rFont val="Noto Sans CJK SC"/>
        <family val="2"/>
      </rPr>
      <t xml:space="preserve">용량 검토</t>
    </r>
    <r>
      <rPr>
        <sz val="10"/>
        <rFont val="맑은 고딕"/>
        <family val="0"/>
        <charset val="1"/>
      </rPr>
      <t xml:space="preserve">, Flare Header </t>
    </r>
    <r>
      <rPr>
        <sz val="10"/>
        <rFont val="Noto Sans CJK SC"/>
        <family val="2"/>
      </rPr>
      <t xml:space="preserve">연결 </t>
    </r>
    <r>
      <rPr>
        <sz val="10"/>
        <rFont val="맑은 고딕"/>
        <family val="0"/>
        <charset val="1"/>
      </rPr>
      <t xml:space="preserve">Tie-in, </t>
    </r>
    <r>
      <rPr>
        <sz val="10"/>
        <rFont val="Noto Sans CJK SC"/>
        <family val="2"/>
      </rPr>
      <t xml:space="preserve">기존 </t>
    </r>
    <r>
      <rPr>
        <sz val="10"/>
        <rFont val="맑은 고딕"/>
        <family val="0"/>
        <charset val="1"/>
      </rPr>
      <t xml:space="preserve">Flare </t>
    </r>
    <r>
      <rPr>
        <sz val="10"/>
        <rFont val="Noto Sans CJK SC"/>
        <family val="2"/>
      </rPr>
      <t xml:space="preserve">용량 여유</t>
    </r>
  </si>
  <si>
    <t xml:space="preserve">[R24] API Std 521 7th, [R25] API Std 537</t>
  </si>
  <si>
    <t xml:space="preserve">법규</t>
  </si>
  <si>
    <r>
      <rPr>
        <sz val="10"/>
        <rFont val="맑은 고딕"/>
        <family val="0"/>
        <charset val="1"/>
      </rPr>
      <t xml:space="preserve">PSM (</t>
    </r>
    <r>
      <rPr>
        <sz val="10"/>
        <rFont val="Noto Sans CJK SC"/>
        <family val="2"/>
      </rPr>
      <t xml:space="preserve">공정안전관리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산업안전보건법</t>
    </r>
    <r>
      <rPr>
        <sz val="10"/>
        <rFont val="맑은 고딕"/>
        <family val="0"/>
        <charset val="1"/>
      </rPr>
      <t xml:space="preserve">)</t>
    </r>
  </si>
  <si>
    <t xml:space="preserve">공정안전보고서(PSR) 작성·심사 지원 범위와 일정</t>
  </si>
  <si>
    <r>
      <rPr>
        <sz val="10"/>
        <rFont val="맑은 고딕"/>
        <family val="0"/>
        <charset val="1"/>
      </rPr>
      <t xml:space="preserve">E / </t>
    </r>
    <r>
      <rPr>
        <sz val="10"/>
        <rFont val="Noto Sans CJK SC"/>
        <family val="2"/>
      </rPr>
      <t xml:space="preserve">간접</t>
    </r>
  </si>
  <si>
    <r>
      <rPr>
        <sz val="9"/>
        <rFont val="맑은 고딕"/>
        <family val="0"/>
        <charset val="1"/>
      </rPr>
      <t xml:space="preserve">[R04] </t>
    </r>
    <r>
      <rPr>
        <sz val="9"/>
        <rFont val="Noto Sans CJK SC"/>
        <family val="2"/>
      </rPr>
      <t xml:space="preserve">산안법 제</t>
    </r>
    <r>
      <rPr>
        <sz val="9"/>
        <rFont val="맑은 고딕"/>
        <family val="0"/>
        <charset val="1"/>
      </rPr>
      <t xml:space="preserve">44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43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시행규칙 제</t>
    </r>
    <r>
      <rPr>
        <sz val="9"/>
        <rFont val="맑은 고딕"/>
        <family val="0"/>
        <charset val="1"/>
      </rPr>
      <t xml:space="preserve">51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착공 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일 전 제출</t>
    </r>
    <r>
      <rPr>
        <sz val="9"/>
        <rFont val="맑은 고딕"/>
        <family val="0"/>
        <charset val="1"/>
      </rPr>
      <t xml:space="preserve">)</t>
    </r>
  </si>
  <si>
    <t xml:space="preserve">고압가스안전관리법 (KGS)</t>
  </si>
  <si>
    <t xml:space="preserve">설계 단계 검사·완성검사 일정, KGS Code 적용 배관 범위</t>
  </si>
  <si>
    <r>
      <rPr>
        <sz val="10"/>
        <rFont val="맑은 고딕"/>
        <family val="0"/>
        <charset val="1"/>
      </rPr>
      <t xml:space="preserve">E / C / </t>
    </r>
    <r>
      <rPr>
        <sz val="10"/>
        <rFont val="Noto Sans CJK SC"/>
        <family val="2"/>
      </rPr>
      <t xml:space="preserve">일정</t>
    </r>
  </si>
  <si>
    <r>
      <rPr>
        <sz val="9"/>
        <rFont val="맑은 고딕"/>
        <family val="0"/>
        <charset val="1"/>
      </rPr>
      <t xml:space="preserve">[R07] </t>
    </r>
    <r>
      <rPr>
        <sz val="9"/>
        <rFont val="Noto Sans CJK SC"/>
        <family val="2"/>
      </rPr>
      <t xml:space="preserve">고압가스법 제</t>
    </r>
    <r>
      <rPr>
        <sz val="9"/>
        <rFont val="맑은 고딕"/>
        <family val="0"/>
        <charset val="1"/>
      </rPr>
      <t xml:space="preserve">16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완성검사</t>
    </r>
    <r>
      <rPr>
        <sz val="9"/>
        <rFont val="맑은 고딕"/>
        <family val="0"/>
        <charset val="1"/>
      </rPr>
      <t xml:space="preserve">), [R11] KGS Code (</t>
    </r>
    <r>
      <rPr>
        <sz val="9"/>
        <rFont val="Noto Sans CJK SC"/>
        <family val="2"/>
      </rPr>
      <t xml:space="preserve">명칭 미확인</t>
    </r>
    <r>
      <rPr>
        <sz val="9"/>
        <rFont val="맑은 고딕"/>
        <family val="0"/>
        <charset val="1"/>
      </rPr>
      <t xml:space="preserve">)</t>
    </r>
  </si>
  <si>
    <t xml:space="preserve">화학물질관리법 (화관법)</t>
  </si>
  <si>
    <t xml:space="preserve">화학사고예방관리계획서(2021.4 장외영향평가·위해관리계획서 통합), 취급시설 기준(누출 감지·방류벽) 반영</t>
  </si>
  <si>
    <r>
      <rPr>
        <sz val="9"/>
        <rFont val="맑은 고딕"/>
        <family val="0"/>
        <charset val="1"/>
      </rPr>
      <t xml:space="preserve">[R03] </t>
    </r>
    <r>
      <rPr>
        <sz val="9"/>
        <rFont val="Noto Sans CJK SC"/>
        <family val="2"/>
      </rPr>
      <t xml:space="preserve">화관법 제</t>
    </r>
    <r>
      <rPr>
        <sz val="9"/>
        <rFont val="맑은 고딕"/>
        <family val="0"/>
        <charset val="1"/>
      </rPr>
      <t xml:space="preserve">23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화학사고예방관리계획서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24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취급시설 기준</t>
    </r>
    <r>
      <rPr>
        <sz val="9"/>
        <rFont val="맑은 고딕"/>
        <family val="0"/>
        <charset val="1"/>
      </rPr>
      <t xml:space="preserve">)</t>
    </r>
  </si>
  <si>
    <t xml:space="preserve">위험물안전관리법 · 소방</t>
  </si>
  <si>
    <t xml:space="preserve">탱크·저장소 허가, 소방설비 범위 구분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</si>
  <si>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제</t>
    </r>
    <r>
      <rPr>
        <sz val="9"/>
        <rFont val="맑은 고딕"/>
        <family val="0"/>
        <charset val="1"/>
      </rPr>
      <t xml:space="preserve">8·9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[R02] </t>
    </r>
    <r>
      <rPr>
        <sz val="9"/>
        <rFont val="Noto Sans CJK SC"/>
        <family val="2"/>
      </rPr>
      <t xml:space="preserve">시행규칙 별표</t>
    </r>
    <r>
      <rPr>
        <sz val="9"/>
        <rFont val="맑은 고딕"/>
        <family val="0"/>
        <charset val="1"/>
      </rPr>
      <t xml:space="preserve">6</t>
    </r>
  </si>
  <si>
    <t xml:space="preserve">환경 (대기·수질·폐기물)</t>
  </si>
  <si>
    <t xml:space="preserve">배출시설 인허가, 시험수·세정 폐수 처리 비용</t>
  </si>
  <si>
    <t xml:space="preserve">하</t>
  </si>
  <si>
    <t xml:space="preserve">간접</t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</si>
  <si>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 (VOC) / </t>
    </r>
    <r>
      <rPr>
        <sz val="9"/>
        <rFont val="Noto Sans CJK SC"/>
        <family val="2"/>
      </rPr>
      <t xml:space="preserve">수질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폐기물은 지자체 확인</t>
    </r>
  </si>
  <si>
    <t xml:space="preserve">안전설비</t>
  </si>
  <si>
    <t xml:space="preserve">위험지역 구분 (Hazardous Area)</t>
  </si>
  <si>
    <r>
      <rPr>
        <sz val="10"/>
        <rFont val="맑은 고딕"/>
        <family val="0"/>
        <charset val="1"/>
      </rPr>
      <t xml:space="preserve">Zone </t>
    </r>
    <r>
      <rPr>
        <sz val="10"/>
        <rFont val="Noto Sans CJK SC"/>
        <family val="2"/>
      </rPr>
      <t xml:space="preserve">구분에 따른 방폭 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케이블 사양 상향</t>
    </r>
  </si>
  <si>
    <t xml:space="preserve">P</t>
  </si>
  <si>
    <t xml:space="preserve">[R26] IEC 60079-10-1 Ed.3.0, [R27] API RP 505 (2025)</t>
  </si>
  <si>
    <t xml:space="preserve">Fire &amp; Gas · SIS</t>
  </si>
  <si>
    <r>
      <rPr>
        <sz val="10"/>
        <rFont val="맑은 고딕"/>
        <family val="0"/>
        <charset val="1"/>
      </rPr>
      <t xml:space="preserve">F&amp;G </t>
    </r>
    <r>
      <rPr>
        <sz val="10"/>
        <rFont val="Noto Sans CJK SC"/>
        <family val="2"/>
      </rPr>
      <t xml:space="preserve">감지기 수</t>
    </r>
    <r>
      <rPr>
        <sz val="10"/>
        <rFont val="맑은 고딕"/>
        <family val="0"/>
        <charset val="1"/>
      </rPr>
      <t xml:space="preserve">, SIL </t>
    </r>
    <r>
      <rPr>
        <sz val="10"/>
        <rFont val="Noto Sans CJK SC"/>
        <family val="2"/>
      </rPr>
      <t xml:space="preserve">검증</t>
    </r>
    <r>
      <rPr>
        <sz val="10"/>
        <rFont val="맑은 고딕"/>
        <family val="0"/>
        <charset val="1"/>
      </rPr>
      <t xml:space="preserve">, SIS </t>
    </r>
    <r>
      <rPr>
        <sz val="10"/>
        <rFont val="Noto Sans CJK SC"/>
        <family val="2"/>
      </rPr>
      <t xml:space="preserve">독립성 요구</t>
    </r>
  </si>
  <si>
    <t xml:space="preserve">E / P</t>
  </si>
  <si>
    <t xml:space="preserve">Fireproofing</t>
  </si>
  <si>
    <t xml:space="preserve">파이프랙·구조물 내화피복 범위(높이 기준)</t>
  </si>
  <si>
    <t xml:space="preserve">C</t>
  </si>
  <si>
    <t xml:space="preserve">[R23] API RP 2218 3rd</t>
  </si>
  <si>
    <r>
      <rPr>
        <b val="true"/>
        <sz val="11"/>
        <rFont val="맑은 고딕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배관 설계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자재</t>
    </r>
  </si>
  <si>
    <t xml:space="preserve">설계</t>
  </si>
  <si>
    <t xml:space="preserve">Piping Class / Material Spec</t>
  </si>
  <si>
    <t xml:space="preserve">발주처 Piping Class 수, 재질 종류(CS·SS·Duplex·합금·Lined) → 단가·생산성 좌우</t>
  </si>
  <si>
    <t xml:space="preserve">발주처 Piping Material Spec / [R12] ASME B31.3</t>
  </si>
  <si>
    <r>
      <rPr>
        <sz val="10"/>
        <rFont val="맑은 고딕"/>
        <family val="0"/>
        <charset val="1"/>
      </rPr>
      <t xml:space="preserve">MTO </t>
    </r>
    <r>
      <rPr>
        <sz val="10"/>
        <rFont val="Noto Sans CJK SC"/>
        <family val="2"/>
      </rPr>
      <t xml:space="preserve">정확도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할증률</t>
    </r>
  </si>
  <si>
    <r>
      <rPr>
        <sz val="10"/>
        <rFont val="맑은 고딕"/>
        <family val="0"/>
        <charset val="1"/>
      </rPr>
      <t xml:space="preserve">FEED </t>
    </r>
    <r>
      <rPr>
        <sz val="10"/>
        <rFont val="Noto Sans CJK SC"/>
        <family val="2"/>
      </rPr>
      <t xml:space="preserve">수준별 물량 할증</t>
    </r>
    <r>
      <rPr>
        <sz val="10"/>
        <rFont val="맑은 고딕"/>
        <family val="0"/>
        <charset val="1"/>
      </rPr>
      <t xml:space="preserve">(Growth), </t>
    </r>
    <r>
      <rPr>
        <sz val="10"/>
        <rFont val="Noto Sans CJK SC"/>
        <family val="2"/>
      </rPr>
      <t xml:space="preserve">소구경 배관 누락 경향 반영</t>
    </r>
  </si>
  <si>
    <t xml:space="preserve">실무 관행 (FEED 수준과 연동: [R29] AACE 18R-97)</t>
  </si>
  <si>
    <t xml:space="preserve">응력해석 대상 라인</t>
  </si>
  <si>
    <r>
      <rPr>
        <sz val="10"/>
        <rFont val="맑은 고딕"/>
        <family val="0"/>
        <charset val="1"/>
      </rPr>
      <t xml:space="preserve">Critical Line 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대구경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회전기기 연결 라인 → 설계 </t>
    </r>
    <r>
      <rPr>
        <sz val="10"/>
        <rFont val="맑은 고딕"/>
        <family val="0"/>
        <charset val="1"/>
      </rPr>
      <t xml:space="preserve">MH·</t>
    </r>
    <r>
      <rPr>
        <sz val="10"/>
        <rFont val="Noto Sans CJK SC"/>
        <family val="2"/>
      </rPr>
      <t xml:space="preserve">특수 서포트</t>
    </r>
  </si>
  <si>
    <r>
      <rPr>
        <sz val="9"/>
        <rFont val="맑은 고딕"/>
        <family val="0"/>
        <charset val="1"/>
      </rPr>
      <t xml:space="preserve">[R12] ASME B31.3 Ch.II </t>
    </r>
    <r>
      <rPr>
        <sz val="9"/>
        <rFont val="Noto Sans CJK SC"/>
        <family val="2"/>
      </rPr>
      <t xml:space="preserve">유연성 해석 </t>
    </r>
    <r>
      <rPr>
        <sz val="9"/>
        <rFont val="맑은 고딕"/>
        <family val="0"/>
        <charset val="1"/>
      </rPr>
      <t xml:space="preserve">(319, 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</si>
  <si>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t xml:space="preserve">특수 서포트</t>
  </si>
  <si>
    <r>
      <rPr>
        <sz val="10"/>
        <rFont val="맑은 고딕"/>
        <family val="0"/>
        <charset val="1"/>
      </rPr>
      <t xml:space="preserve">Spring Hanger, Snubber, Pipe Shoe </t>
    </r>
    <r>
      <rPr>
        <sz val="10"/>
        <rFont val="Noto Sans CJK SC"/>
        <family val="2"/>
      </rPr>
      <t xml:space="preserve">특수 사양 → 별도 구매 품목</t>
    </r>
  </si>
  <si>
    <r>
      <rPr>
        <sz val="10"/>
        <rFont val="맑은 고딕"/>
        <family val="0"/>
        <charset val="1"/>
      </rPr>
      <t xml:space="preserve">Expansion Joint · </t>
    </r>
    <r>
      <rPr>
        <sz val="10"/>
        <rFont val="Noto Sans CJK SC"/>
        <family val="2"/>
      </rPr>
      <t xml:space="preserve">특수 품목</t>
    </r>
  </si>
  <si>
    <t xml:space="preserve">벨로즈, 스트레이너, 스팀 트랩, 사이트 글라스 등 Specialty Item 목록</t>
  </si>
  <si>
    <t xml:space="preserve">Heat Tracing</t>
  </si>
  <si>
    <r>
      <rPr>
        <sz val="10"/>
        <rFont val="맑은 고딕"/>
        <family val="0"/>
        <charset val="1"/>
      </rPr>
      <t xml:space="preserve">Steam/Electric Tracing </t>
    </r>
    <r>
      <rPr>
        <sz val="10"/>
        <rFont val="Noto Sans CJK SC"/>
        <family val="2"/>
      </rPr>
      <t xml:space="preserve">범위 → 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전기 물량 동시 증가</t>
    </r>
  </si>
  <si>
    <t xml:space="preserve">지하 배관</t>
  </si>
  <si>
    <r>
      <rPr>
        <sz val="10"/>
        <rFont val="맑은 고딕"/>
        <family val="0"/>
        <charset val="1"/>
      </rPr>
      <t xml:space="preserve">CS </t>
    </r>
    <r>
      <rPr>
        <sz val="10"/>
        <rFont val="Noto Sans CJK SC"/>
        <family val="2"/>
      </rPr>
      <t xml:space="preserve">외부 코팅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전기방식</t>
    </r>
    <r>
      <rPr>
        <sz val="10"/>
        <rFont val="맑은 고딕"/>
        <family val="0"/>
        <charset val="1"/>
      </rPr>
      <t xml:space="preserve">(CP), HDPE/GRP </t>
    </r>
    <r>
      <rPr>
        <sz val="10"/>
        <rFont val="Noto Sans CJK SC"/>
        <family val="2"/>
      </rPr>
      <t xml:space="preserve">소방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배수 배관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굴착 범위</t>
    </r>
  </si>
  <si>
    <t xml:space="preserve">자재</t>
  </si>
  <si>
    <t xml:space="preserve">합금·고가 자재 가격 변동</t>
  </si>
  <si>
    <t xml:space="preserve">니켈·몰리브덴 연동 가격(SS, Duplex, Inconel), 견적 유효기간 리스크</t>
  </si>
  <si>
    <r>
      <rPr>
        <sz val="10"/>
        <rFont val="맑은 고딕"/>
        <family val="0"/>
        <charset val="1"/>
      </rPr>
      <t xml:space="preserve">P / </t>
    </r>
    <r>
      <rPr>
        <sz val="10"/>
        <rFont val="Noto Sans CJK SC"/>
        <family val="2"/>
      </rPr>
      <t xml:space="preserve">예비비</t>
    </r>
  </si>
  <si>
    <t xml:space="preserve">재질 추적성 (Traceability)</t>
  </si>
  <si>
    <r>
      <rPr>
        <sz val="10"/>
        <rFont val="맑은 고딕"/>
        <family val="0"/>
        <charset val="1"/>
      </rPr>
      <t xml:space="preserve">MTC(EN 10204 3.1/3.2) </t>
    </r>
    <r>
      <rPr>
        <sz val="10"/>
        <rFont val="Noto Sans CJK SC"/>
        <family val="2"/>
      </rPr>
      <t xml:space="preserve">요구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자 입회 → 자재 단가 상승</t>
    </r>
  </si>
  <si>
    <t xml:space="preserve">[R21] EN 10204:2004 (3.1 / 3.2)</t>
  </si>
  <si>
    <t xml:space="preserve">밸브 사양</t>
  </si>
  <si>
    <r>
      <rPr>
        <sz val="10"/>
        <rFont val="맑은 고딕"/>
        <family val="0"/>
        <charset val="1"/>
      </rPr>
      <t xml:space="preserve">API 598 / API 6D </t>
    </r>
    <r>
      <rPr>
        <sz val="10"/>
        <rFont val="Noto Sans CJK SC"/>
        <family val="2"/>
      </rPr>
      <t xml:space="preserve">시험</t>
    </r>
    <r>
      <rPr>
        <sz val="10"/>
        <rFont val="맑은 고딕"/>
        <family val="0"/>
        <charset val="1"/>
      </rPr>
      <t xml:space="preserve">, Fire-safe(API 607), Fugitive Emission(ISO 15848) </t>
    </r>
    <r>
      <rPr>
        <sz val="10"/>
        <rFont val="Noto Sans CJK SC"/>
        <family val="2"/>
      </rPr>
      <t xml:space="preserve">요구</t>
    </r>
  </si>
  <si>
    <t xml:space="preserve">[R17] API 598 11th, [R18] API 6D 25th, [R19] API 607 8th, [R20] ISO 15848-1</t>
  </si>
  <si>
    <t xml:space="preserve">볼트·가스켓</t>
  </si>
  <si>
    <t xml:space="preserve">볼트 재질(B7M/L7 등), Spiral Wound·RTJ 가스켓, 볼트 코팅 사양</t>
  </si>
  <si>
    <t xml:space="preserve">자재 여유분 · 잉여</t>
  </si>
  <si>
    <t xml:space="preserve">현장 Wastage·절단 손실, 잉여 자재 처리 조건</t>
  </si>
  <si>
    <r>
      <rPr>
        <b val="true"/>
        <sz val="11"/>
        <rFont val="맑은 고딕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배관 제작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시공</t>
    </r>
  </si>
  <si>
    <t xml:space="preserve">시공</t>
  </si>
  <si>
    <r>
      <rPr>
        <sz val="10"/>
        <rFont val="맑은 고딕"/>
        <family val="0"/>
        <charset val="1"/>
      </rPr>
      <t xml:space="preserve">Dia-Inch </t>
    </r>
    <r>
      <rPr>
        <sz val="10"/>
        <rFont val="Noto Sans CJK SC"/>
        <family val="2"/>
      </rPr>
      <t xml:space="preserve">단가 보정</t>
    </r>
  </si>
  <si>
    <t xml:space="preserve">재질·스케줄·구경별 생산성 차이 반영 (아래 보정계수표 참고)</t>
  </si>
  <si>
    <t xml:space="preserve">회사 실적 데이터 (참고서: [R30] Page, 5th Ed. — 수치 미인용)</t>
  </si>
  <si>
    <r>
      <rPr>
        <sz val="10"/>
        <rFont val="맑은 고딕"/>
        <family val="0"/>
        <charset val="1"/>
      </rPr>
      <t xml:space="preserve">Shop / Field </t>
    </r>
    <r>
      <rPr>
        <sz val="10"/>
        <rFont val="Noto Sans CJK SC"/>
        <family val="2"/>
      </rPr>
      <t xml:space="preserve">제작 비율</t>
    </r>
  </si>
  <si>
    <r>
      <rPr>
        <sz val="10"/>
        <rFont val="맑은 고딕"/>
        <family val="0"/>
        <charset val="1"/>
      </rPr>
      <t xml:space="preserve">Spool </t>
    </r>
    <r>
      <rPr>
        <sz val="10"/>
        <rFont val="Noto Sans CJK SC"/>
        <family val="2"/>
      </rPr>
      <t xml:space="preserve">공장 제작 비율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운송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보관 비용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현장 제작 시 천막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작업장</t>
    </r>
  </si>
  <si>
    <r>
      <rPr>
        <sz val="10"/>
        <rFont val="맑은 고딕"/>
        <family val="0"/>
        <charset val="1"/>
      </rPr>
      <t xml:space="preserve">C / </t>
    </r>
    <r>
      <rPr>
        <sz val="10"/>
        <rFont val="Noto Sans CJK SC"/>
        <family val="2"/>
      </rPr>
      <t xml:space="preserve">간접</t>
    </r>
  </si>
  <si>
    <r>
      <rPr>
        <sz val="10"/>
        <rFont val="맑은 고딕"/>
        <family val="0"/>
        <charset val="1"/>
      </rPr>
      <t xml:space="preserve">WPS / PQR · </t>
    </r>
    <r>
      <rPr>
        <sz val="10"/>
        <rFont val="Noto Sans CJK SC"/>
        <family val="2"/>
      </rPr>
      <t xml:space="preserve">용접사 자격</t>
    </r>
  </si>
  <si>
    <t xml:space="preserve">신규 재질 PQR 필요 여부, 발주처 용접사 시험 요구 → 일정·비용</t>
  </si>
  <si>
    <r>
      <rPr>
        <sz val="10"/>
        <rFont val="맑은 고딕"/>
        <family val="0"/>
        <charset val="1"/>
      </rPr>
      <t xml:space="preserve">C / </t>
    </r>
    <r>
      <rPr>
        <sz val="10"/>
        <rFont val="Noto Sans CJK SC"/>
        <family val="2"/>
      </rPr>
      <t xml:space="preserve">일정</t>
    </r>
  </si>
  <si>
    <r>
      <rPr>
        <sz val="9"/>
        <rFont val="맑은 고딕"/>
        <family val="0"/>
        <charset val="1"/>
      </rPr>
      <t xml:space="preserve">ASME BPVC Sec. IX (</t>
    </r>
    <r>
      <rPr>
        <sz val="9"/>
        <rFont val="Noto Sans CJK SC"/>
        <family val="2"/>
      </rPr>
      <t xml:space="preserve">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조항 미확인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발주처 용접 사양</t>
    </r>
  </si>
  <si>
    <t xml:space="preserve">예열 · PWHT</t>
  </si>
  <si>
    <t xml:space="preserve">합금강·후육관 예열/후열처리 대상 조인트 수, 열처리 장비·인력</t>
  </si>
  <si>
    <t xml:space="preserve">[R12] ASME B31.3 Table 331.1.1</t>
  </si>
  <si>
    <t xml:space="preserve">비파괴검사 (NDE)</t>
  </si>
  <si>
    <t xml:space="preserve">서비스 등급별 RT/UT 비율(Normal 5% 랜덤, Severe cyclic 100% 체적검사), 발주처 상향 요구, PAUT 대체 허용 여부</t>
  </si>
  <si>
    <r>
      <rPr>
        <sz val="9"/>
        <rFont val="맑은 고딕"/>
        <family val="0"/>
        <charset val="1"/>
      </rPr>
      <t xml:space="preserve">[R12] ASME B31.3 341.4.1 (Normal 5% </t>
    </r>
    <r>
      <rPr>
        <sz val="9"/>
        <rFont val="Noto Sans CJK SC"/>
        <family val="2"/>
      </rPr>
      <t xml:space="preserve">랜덤 </t>
    </r>
    <r>
      <rPr>
        <sz val="9"/>
        <rFont val="맑은 고딕"/>
        <family val="0"/>
        <charset val="1"/>
      </rPr>
      <t xml:space="preserve">RT/UT), 341.4.2 (Category D), M341.4, Severe cyclic 100% </t>
    </r>
    <r>
      <rPr>
        <sz val="9"/>
        <rFont val="Noto Sans CJK SC"/>
        <family val="2"/>
      </rPr>
      <t xml:space="preserve">체적검사</t>
    </r>
  </si>
  <si>
    <t xml:space="preserve">경도시험 · PMI</t>
  </si>
  <si>
    <r>
      <rPr>
        <sz val="10"/>
        <rFont val="맑은 고딕"/>
        <family val="0"/>
        <charset val="1"/>
      </rPr>
      <t xml:space="preserve">Sour </t>
    </r>
    <r>
      <rPr>
        <sz val="10"/>
        <rFont val="Noto Sans CJK SC"/>
        <family val="2"/>
      </rPr>
      <t xml:space="preserve">서비스 경도 요건</t>
    </r>
    <r>
      <rPr>
        <sz val="10"/>
        <rFont val="맑은 고딕"/>
        <family val="0"/>
        <charset val="1"/>
      </rPr>
      <t xml:space="preserve">(NACE), </t>
    </r>
    <r>
      <rPr>
        <sz val="10"/>
        <rFont val="Noto Sans CJK SC"/>
        <family val="2"/>
      </rPr>
      <t xml:space="preserve">합금 </t>
    </r>
    <r>
      <rPr>
        <sz val="10"/>
        <rFont val="맑은 고딕"/>
        <family val="0"/>
        <charset val="1"/>
      </rPr>
      <t xml:space="preserve">PMI 100% </t>
    </r>
    <r>
      <rPr>
        <sz val="10"/>
        <rFont val="Noto Sans CJK SC"/>
        <family val="2"/>
      </rPr>
      <t xml:space="preserve">요구 여부 — </t>
    </r>
    <r>
      <rPr>
        <sz val="10"/>
        <rFont val="맑은 고딕"/>
        <family val="0"/>
        <charset val="1"/>
      </rPr>
      <t xml:space="preserve">B31.3 </t>
    </r>
    <r>
      <rPr>
        <sz val="10"/>
        <rFont val="Noto Sans CJK SC"/>
        <family val="2"/>
      </rPr>
      <t xml:space="preserve">경도 조항</t>
    </r>
    <r>
      <rPr>
        <sz val="10"/>
        <rFont val="맑은 고딕"/>
        <family val="0"/>
        <charset val="1"/>
      </rPr>
      <t xml:space="preserve">(331.1.7)</t>
    </r>
    <r>
      <rPr>
        <sz val="10"/>
        <rFont val="Noto Sans CJK SC"/>
        <family val="2"/>
      </rPr>
      <t xml:space="preserve">은 </t>
    </r>
    <r>
      <rPr>
        <sz val="10"/>
        <rFont val="맑은 고딕"/>
        <family val="0"/>
        <charset val="1"/>
      </rPr>
      <t xml:space="preserve">2014</t>
    </r>
    <r>
      <rPr>
        <sz val="10"/>
        <rFont val="Noto Sans CJK SC"/>
        <family val="2"/>
      </rPr>
      <t xml:space="preserve">판에서 삭제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프로젝트 사양으로 지정</t>
    </r>
  </si>
  <si>
    <r>
      <rPr>
        <sz val="9"/>
        <rFont val="맑은 고딕"/>
        <family val="0"/>
        <charset val="1"/>
      </rPr>
      <t xml:space="preserve">[R13]/[R14] NACE (Sour </t>
    </r>
    <r>
      <rPr>
        <sz val="9"/>
        <rFont val="Noto Sans CJK SC"/>
        <family val="2"/>
      </rPr>
      <t xml:space="preserve">경도</t>
    </r>
    <r>
      <rPr>
        <sz val="9"/>
        <rFont val="맑은 고딕"/>
        <family val="0"/>
        <charset val="1"/>
      </rPr>
      <t xml:space="preserve">), [R12] B31.3 331.1.7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2014</t>
    </r>
    <r>
      <rPr>
        <sz val="9"/>
        <rFont val="Noto Sans CJK SC"/>
        <family val="2"/>
      </rPr>
      <t xml:space="preserve">판에서 삭제 → 프로젝트 사양</t>
    </r>
  </si>
  <si>
    <t xml:space="preserve">비계 (Scaffolding)</t>
  </si>
  <si>
    <t xml:space="preserve">고소 배관·파이프랙 작업 비계 물량 — 누락이 가장 잦은 항목</t>
  </si>
  <si>
    <t xml:space="preserve">작업 높이 · 혼잡도</t>
  </si>
  <si>
    <t xml:space="preserve">파이프랙 상단·기존 설비 밀집 구역 생산성 저하 계수</t>
  </si>
  <si>
    <t xml:space="preserve">볼트 체결 관리</t>
  </si>
  <si>
    <r>
      <rPr>
        <sz val="10"/>
        <rFont val="맑은 고딕"/>
        <family val="0"/>
        <charset val="1"/>
      </rPr>
      <t xml:space="preserve">Torque/Tensioning </t>
    </r>
    <r>
      <rPr>
        <sz val="10"/>
        <rFont val="Noto Sans CJK SC"/>
        <family val="2"/>
      </rPr>
      <t xml:space="preserve">대상 조인트</t>
    </r>
    <r>
      <rPr>
        <sz val="10"/>
        <rFont val="맑은 고딕"/>
        <family val="0"/>
        <charset val="1"/>
      </rPr>
      <t xml:space="preserve">, Flange Management </t>
    </r>
    <r>
      <rPr>
        <sz val="10"/>
        <rFont val="Noto Sans CJK SC"/>
        <family val="2"/>
      </rPr>
      <t xml:space="preserve">기록 요구</t>
    </r>
  </si>
  <si>
    <t xml:space="preserve">도장 · 보온 경계</t>
  </si>
  <si>
    <t xml:space="preserve">배관 도장 시점(Shop/Field), 보온 하부 도장(CUI 방지) 사양</t>
  </si>
  <si>
    <t xml:space="preserve">[R28] ISO 8501-1, [R16] API RP 571 (CUI)</t>
  </si>
  <si>
    <t xml:space="preserve">소구경 배관 · Vent/Drain</t>
  </si>
  <si>
    <t xml:space="preserve">도면 미표기 소구경·계장 연결 배관 물량</t>
  </si>
  <si>
    <r>
      <rPr>
        <b val="true"/>
        <sz val="11"/>
        <rFont val="맑은 고딕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시험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세정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시운전</t>
    </r>
  </si>
  <si>
    <t xml:space="preserve">시험</t>
  </si>
  <si>
    <t xml:space="preserve">수압·기압 시험</t>
  </si>
  <si>
    <r>
      <rPr>
        <sz val="10"/>
        <rFont val="맑은 고딕"/>
        <family val="0"/>
        <charset val="1"/>
      </rPr>
      <t xml:space="preserve">Test Package 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 압력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기압시험 허용 및 안전 조치</t>
    </r>
  </si>
  <si>
    <r>
      <rPr>
        <sz val="9"/>
        <rFont val="맑은 고딕"/>
        <family val="0"/>
        <charset val="1"/>
      </rPr>
      <t xml:space="preserve">[R12] ASME B31.3 345.4.2 (1.5×P×St/S), 345.5.4 (</t>
    </r>
    <r>
      <rPr>
        <sz val="9"/>
        <rFont val="Noto Sans CJK SC"/>
        <family val="2"/>
      </rPr>
      <t xml:space="preserve">공압 </t>
    </r>
    <r>
      <rPr>
        <sz val="9"/>
        <rFont val="맑은 고딕"/>
        <family val="0"/>
        <charset val="1"/>
      </rPr>
      <t xml:space="preserve">1.1×)</t>
    </r>
  </si>
  <si>
    <t xml:space="preserve">시험수 수질 · 처리</t>
  </si>
  <si>
    <r>
      <rPr>
        <sz val="10"/>
        <rFont val="맑은 고딕"/>
        <family val="0"/>
        <charset val="1"/>
      </rPr>
      <t xml:space="preserve">SS </t>
    </r>
    <r>
      <rPr>
        <sz val="10"/>
        <rFont val="Noto Sans CJK SC"/>
        <family val="2"/>
      </rPr>
      <t xml:space="preserve">배관 시험수 염화물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50 ppm </t>
    </r>
    <r>
      <rPr>
        <sz val="10"/>
        <rFont val="Noto Sans CJK SC"/>
        <family val="2"/>
      </rPr>
      <t xml:space="preserve">미만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시험수 공급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배수 처리</t>
    </r>
  </si>
  <si>
    <r>
      <rPr>
        <sz val="9"/>
        <rFont val="맑은 고딕"/>
        <family val="0"/>
        <charset val="1"/>
      </rPr>
      <t xml:space="preserve">[R31] ASME PCC-2:2018 (SS: </t>
    </r>
    <r>
      <rPr>
        <sz val="9"/>
        <rFont val="Noto Sans CJK SC"/>
        <family val="2"/>
      </rPr>
      <t xml:space="preserve">염화물 </t>
    </r>
    <r>
      <rPr>
        <sz val="9"/>
        <rFont val="맑은 고딕"/>
        <family val="0"/>
        <charset val="1"/>
      </rPr>
      <t xml:space="preserve">50 ppm </t>
    </r>
    <r>
      <rPr>
        <sz val="9"/>
        <rFont val="Noto Sans CJK SC"/>
        <family val="2"/>
      </rPr>
      <t xml:space="preserve">미만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프로젝트 사양 우선</t>
    </r>
  </si>
  <si>
    <t xml:space="preserve">세정</t>
  </si>
  <si>
    <t xml:space="preserve">Flushing · Blowing</t>
  </si>
  <si>
    <r>
      <rPr>
        <sz val="10"/>
        <rFont val="맑은 고딕"/>
        <family val="0"/>
        <charset val="1"/>
      </rPr>
      <t xml:space="preserve">Air/Water Flushing, Steam Blowing </t>
    </r>
    <r>
      <rPr>
        <sz val="10"/>
        <rFont val="Noto Sans CJK SC"/>
        <family val="2"/>
      </rPr>
      <t xml:space="preserve">범위와 임시 배관</t>
    </r>
  </si>
  <si>
    <t xml:space="preserve">화학 세정</t>
  </si>
  <si>
    <t xml:space="preserve">압축기 흡입·윤활 배관 Pickling/Passivation, Oil Flushing</t>
  </si>
  <si>
    <t xml:space="preserve">시운전</t>
  </si>
  <si>
    <r>
      <rPr>
        <sz val="10"/>
        <rFont val="맑은 고딕"/>
        <family val="0"/>
        <charset val="1"/>
      </rPr>
      <t xml:space="preserve">Reinstatement · </t>
    </r>
    <r>
      <rPr>
        <sz val="10"/>
        <rFont val="Noto Sans CJK SC"/>
        <family val="2"/>
      </rPr>
      <t xml:space="preserve">기밀시험</t>
    </r>
  </si>
  <si>
    <t xml:space="preserve">시험 후 복구, 운전 전 Leak Test(질소·헬륨) 범위</t>
  </si>
  <si>
    <r>
      <rPr>
        <sz val="10"/>
        <rFont val="맑은 고딕"/>
        <family val="0"/>
        <charset val="1"/>
      </rPr>
      <t xml:space="preserve">Punch · Test Pack </t>
    </r>
    <r>
      <rPr>
        <sz val="10"/>
        <rFont val="Noto Sans CJK SC"/>
        <family val="2"/>
      </rPr>
      <t xml:space="preserve">문서</t>
    </r>
  </si>
  <si>
    <r>
      <rPr>
        <sz val="10"/>
        <rFont val="맑은 고딕"/>
        <family val="0"/>
        <charset val="1"/>
      </rPr>
      <t xml:space="preserve">Test Package </t>
    </r>
    <r>
      <rPr>
        <sz val="10"/>
        <rFont val="Noto Sans CJK SC"/>
        <family val="2"/>
      </rPr>
      <t xml:space="preserve">문서 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관리 인력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발주처 인계 형식</t>
    </r>
  </si>
  <si>
    <r>
      <rPr>
        <b val="true"/>
        <sz val="11"/>
        <rFont val="맑은 고딕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기존 공장 내 공사 </t>
    </r>
    <r>
      <rPr>
        <b val="true"/>
        <sz val="11"/>
        <rFont val="맑은 고딕"/>
        <family val="0"/>
        <charset val="1"/>
      </rPr>
      <t xml:space="preserve">(Brownfield) · </t>
    </r>
    <r>
      <rPr>
        <b val="true"/>
        <sz val="11"/>
        <rFont val="Noto Sans CJK SC"/>
        <family val="2"/>
      </rPr>
      <t xml:space="preserve">현장 여건</t>
    </r>
  </si>
  <si>
    <t xml:space="preserve">Brownfield</t>
  </si>
  <si>
    <r>
      <rPr>
        <sz val="10"/>
        <rFont val="맑은 고딕"/>
        <family val="0"/>
        <charset val="1"/>
      </rPr>
      <t xml:space="preserve">Tie-in </t>
    </r>
    <r>
      <rPr>
        <sz val="10"/>
        <rFont val="Noto Sans CJK SC"/>
        <family val="2"/>
      </rPr>
      <t xml:space="preserve">방식</t>
    </r>
  </si>
  <si>
    <r>
      <rPr>
        <sz val="10"/>
        <rFont val="맑은 고딕"/>
        <family val="0"/>
        <charset val="1"/>
      </rPr>
      <t xml:space="preserve">Hot Tapping / Shutdown </t>
    </r>
    <r>
      <rPr>
        <sz val="10"/>
        <rFont val="Noto Sans CJK SC"/>
        <family val="2"/>
      </rPr>
      <t xml:space="preserve">중 연결 구분</t>
    </r>
    <r>
      <rPr>
        <sz val="10"/>
        <rFont val="맑은 고딕"/>
        <family val="0"/>
        <charset val="1"/>
      </rPr>
      <t xml:space="preserve">, Hot Tap </t>
    </r>
    <r>
      <rPr>
        <sz val="10"/>
        <rFont val="Noto Sans CJK SC"/>
        <family val="2"/>
      </rPr>
      <t xml:space="preserve">장비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전문업체</t>
    </r>
  </si>
  <si>
    <t xml:space="preserve">[R22] API RP 2201 5th (Hot Tapping)</t>
  </si>
  <si>
    <t xml:space="preserve">정기보수(T/A) 연계</t>
  </si>
  <si>
    <r>
      <rPr>
        <sz val="10"/>
        <rFont val="맑은 고딕"/>
        <family val="0"/>
        <charset val="1"/>
      </rPr>
      <t xml:space="preserve">Shutdown </t>
    </r>
    <r>
      <rPr>
        <sz val="10"/>
        <rFont val="Noto Sans CJK SC"/>
        <family val="2"/>
      </rPr>
      <t xml:space="preserve">기간 내 완료 필수 작업 → 야간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돌관 인력</t>
    </r>
  </si>
  <si>
    <t xml:space="preserve">작업허가 · 가스 측정</t>
  </si>
  <si>
    <t xml:space="preserve">일일 작업허가 대기시간, 화기작업 제한 → 실작업시간 감소</t>
  </si>
  <si>
    <t xml:space="preserve">[R09] KOSHA GUIDE P-94-2019</t>
  </si>
  <si>
    <t xml:space="preserve">기존 배관 조사</t>
  </si>
  <si>
    <r>
      <rPr>
        <sz val="10"/>
        <rFont val="맑은 고딕"/>
        <family val="0"/>
        <charset val="1"/>
      </rPr>
      <t xml:space="preserve">As-built </t>
    </r>
    <r>
      <rPr>
        <sz val="10"/>
        <rFont val="Noto Sans CJK SC"/>
        <family val="2"/>
      </rPr>
      <t xml:space="preserve">도면 신뢰도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현장 실측</t>
    </r>
    <r>
      <rPr>
        <sz val="10"/>
        <rFont val="맑은 고딕"/>
        <family val="0"/>
        <charset val="1"/>
      </rPr>
      <t xml:space="preserve">·3D </t>
    </r>
    <r>
      <rPr>
        <sz val="10"/>
        <rFont val="Noto Sans CJK SC"/>
        <family val="2"/>
      </rPr>
      <t xml:space="preserve">스캔 필요 여부</t>
    </r>
  </si>
  <si>
    <t xml:space="preserve">격리 · Blinding</t>
  </si>
  <si>
    <r>
      <rPr>
        <sz val="10"/>
        <rFont val="맑은 고딕"/>
        <family val="0"/>
        <charset val="1"/>
      </rPr>
      <t xml:space="preserve">Line Blind, </t>
    </r>
    <r>
      <rPr>
        <sz val="10"/>
        <rFont val="Noto Sans CJK SC"/>
        <family val="2"/>
      </rPr>
      <t xml:space="preserve">퍼지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잔류물 처리 책임</t>
    </r>
  </si>
  <si>
    <r>
      <rPr>
        <sz val="9"/>
        <rFont val="맑은 고딕"/>
        <family val="0"/>
        <charset val="1"/>
      </rPr>
      <t xml:space="preserve">[R09] KOSHA GUIDE P-94-2019 / </t>
    </r>
    <r>
      <rPr>
        <sz val="9"/>
        <rFont val="Noto Sans CJK SC"/>
        <family val="2"/>
      </rPr>
      <t xml:space="preserve">발주처 안전 절차</t>
    </r>
  </si>
  <si>
    <t xml:space="preserve">현장 여건</t>
  </si>
  <si>
    <t xml:space="preserve">석유화학단지 노무 여건</t>
  </si>
  <si>
    <t xml:space="preserve">지역 노조·협력사 관행, 숙련 용접사 수급, 단지 내 다른 공사와 인력 경쟁</t>
  </si>
  <si>
    <t xml:space="preserve">단지 출입·안전 교육</t>
  </si>
  <si>
    <t xml:space="preserve">출입 교육 시간, 발주처 안전 기준(복장·장비) 비용</t>
  </si>
  <si>
    <t xml:space="preserve">야적·자재 보관</t>
  </si>
  <si>
    <t xml:space="preserve">단지 내 야적장 부족 시 외부 보관·반복 운송</t>
  </si>
  <si>
    <r>
      <rPr>
        <b val="true"/>
        <sz val="12"/>
        <rFont val="맑은 고딕"/>
        <family val="0"/>
        <charset val="1"/>
      </rPr>
      <t xml:space="preserve">[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맑은 고딕"/>
        <family val="0"/>
        <charset val="1"/>
      </rPr>
      <t xml:space="preserve">] </t>
    </r>
    <r>
      <rPr>
        <b val="true"/>
        <sz val="12"/>
        <rFont val="Noto Sans CJK SC"/>
        <family val="2"/>
      </rPr>
      <t xml:space="preserve">배관 시공 </t>
    </r>
    <r>
      <rPr>
        <b val="true"/>
        <sz val="12"/>
        <rFont val="맑은 고딕"/>
        <family val="0"/>
        <charset val="1"/>
      </rPr>
      <t xml:space="preserve">Dia-Inch </t>
    </r>
    <r>
      <rPr>
        <b val="true"/>
        <sz val="12"/>
        <rFont val="Noto Sans CJK SC"/>
        <family val="2"/>
      </rPr>
      <t xml:space="preserve">생산성 보정계수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예시</t>
    </r>
    <r>
      <rPr>
        <b val="true"/>
        <sz val="12"/>
        <rFont val="맑은 고딕"/>
        <family val="0"/>
        <charset val="1"/>
      </rPr>
      <t xml:space="preserve">)</t>
    </r>
  </si>
  <si>
    <t xml:space="preserve">출처: 보정계수는 양식 이해용 예시값으로 공개 출처가 없습니다(근거 수준 D). 회사 실적으로 교체하세요. 공수 산정 참고서 예: [R30] Page, Estimator's Piping Man-Hour Manual 5th Ed. (수치 미인용). 실제 MH = 기준 MH/DI × Dia-Inch × 재질계수 × 두께계수 × 현장계수</t>
  </si>
  <si>
    <t xml:space="preserve">조건</t>
  </si>
  <si>
    <t xml:space="preserve">보정계수</t>
  </si>
  <si>
    <t xml:space="preserve">비고</t>
  </si>
  <si>
    <t xml:space="preserve">재질</t>
  </si>
  <si>
    <t xml:space="preserve">탄소강 (CS)</t>
  </si>
  <si>
    <t xml:space="preserve">기준</t>
  </si>
  <si>
    <t xml:space="preserve">저온탄소강 (LTCS)</t>
  </si>
  <si>
    <t xml:space="preserve">충격시험 재질, 용접 관리 강화</t>
  </si>
  <si>
    <t xml:space="preserve">스테인리스 (SS304/316)</t>
  </si>
  <si>
    <t xml:space="preserve">퍼지 용접, 오염 방지 관리</t>
  </si>
  <si>
    <t xml:space="preserve">합금강 (Cr-Mo)</t>
  </si>
  <si>
    <t xml:space="preserve">예열·PWHT 별도 산정</t>
  </si>
  <si>
    <r>
      <rPr>
        <sz val="10"/>
        <rFont val="맑은 고딕"/>
        <family val="0"/>
        <charset val="1"/>
      </rPr>
      <t xml:space="preserve">Duplex / </t>
    </r>
    <r>
      <rPr>
        <sz val="10"/>
        <rFont val="Noto Sans CJK SC"/>
        <family val="2"/>
      </rPr>
      <t xml:space="preserve">고합금</t>
    </r>
  </si>
  <si>
    <t xml:space="preserve">입열 관리, 용접사 자격 제한</t>
  </si>
  <si>
    <t xml:space="preserve">두께</t>
  </si>
  <si>
    <t xml:space="preserve">Sch.80 / XS</t>
  </si>
  <si>
    <t xml:space="preserve">용접 층수 증가</t>
  </si>
  <si>
    <r>
      <rPr>
        <sz val="10"/>
        <rFont val="맑은 고딕"/>
        <family val="0"/>
        <charset val="1"/>
      </rPr>
      <t xml:space="preserve">Sch.160 / XXS (</t>
    </r>
    <r>
      <rPr>
        <sz val="10"/>
        <rFont val="Noto Sans CJK SC"/>
        <family val="2"/>
      </rPr>
      <t xml:space="preserve">후육관</t>
    </r>
    <r>
      <rPr>
        <sz val="10"/>
        <rFont val="맑은 고딕"/>
        <family val="0"/>
        <charset val="1"/>
      </rPr>
      <t xml:space="preserve">)</t>
    </r>
  </si>
  <si>
    <t xml:space="preserve">예열·NDE 증가 동반</t>
  </si>
  <si>
    <t xml:space="preserve">파이프랙 상단·고소</t>
  </si>
  <si>
    <t xml:space="preserve">비계 별도</t>
  </si>
  <si>
    <t xml:space="preserve">기존 설비 밀집 구역</t>
  </si>
  <si>
    <r>
      <rPr>
        <sz val="10"/>
        <rFont val="맑은 고딕"/>
        <family val="0"/>
        <charset val="1"/>
      </rPr>
      <t xml:space="preserve">Brownfield </t>
    </r>
    <r>
      <rPr>
        <sz val="10"/>
        <rFont val="Noto Sans CJK SC"/>
        <family val="2"/>
      </rPr>
      <t xml:space="preserve">혼잡도</t>
    </r>
  </si>
  <si>
    <t xml:space="preserve">운전 중 공장 (작업허가)</t>
  </si>
  <si>
    <t xml:space="preserve">허가 대기·가스 측정 시간</t>
  </si>
  <si>
    <t xml:space="preserve">계산 예시</t>
  </si>
  <si>
    <t xml:space="preserve">기준 MH / Dia-Inch</t>
  </si>
  <si>
    <r>
      <rPr>
        <sz val="10"/>
        <rFont val="맑은 고딕"/>
        <family val="0"/>
        <charset val="1"/>
      </rPr>
      <t xml:space="preserve">Dia-Inch </t>
    </r>
    <r>
      <rPr>
        <sz val="10"/>
        <rFont val="Noto Sans CJK SC"/>
        <family val="2"/>
      </rPr>
      <t xml:space="preserve">물량</t>
    </r>
  </si>
  <si>
    <t xml:space="preserve">재질계수 (SS)</t>
  </si>
  <si>
    <t xml:space="preserve">두께계수 (Sch.80)</t>
  </si>
  <si>
    <t xml:space="preserve">현장계수 (운전 중 공장)</t>
  </si>
  <si>
    <t xml:space="preserve">소요 Man-hour</t>
  </si>
  <si>
    <t xml:space="preserve">← 기준(CS) 대비 약 몇 배인지 비교해 보세요</t>
  </si>
  <si>
    <t xml:space="preserve">저장탱크 제작·설치 체크리스트</t>
  </si>
  <si>
    <r>
      <rPr>
        <i val="true"/>
        <sz val="9"/>
        <color rgb="FF666666"/>
        <rFont val="맑은 고딕"/>
        <family val="0"/>
        <charset val="1"/>
      </rPr>
      <t xml:space="preserve">API 650 / 620 </t>
    </r>
    <r>
      <rPr>
        <i val="true"/>
        <sz val="9"/>
        <color rgb="FF666666"/>
        <rFont val="Noto Sans CJK SC"/>
        <family val="2"/>
      </rPr>
      <t xml:space="preserve">계열 현장 조립식 저장탱크 기준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영향도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상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견적 크게 좌우</t>
    </r>
    <r>
      <rPr>
        <i val="true"/>
        <sz val="9"/>
        <color rgb="FF666666"/>
        <rFont val="맑은 고딕"/>
        <family val="0"/>
        <charset val="1"/>
      </rPr>
      <t xml:space="preserve">)/</t>
    </r>
    <r>
      <rPr>
        <i val="true"/>
        <sz val="9"/>
        <color rgb="FF666666"/>
        <rFont val="Noto Sans CJK SC"/>
        <family val="2"/>
      </rPr>
      <t xml:space="preserve">중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하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하단에 강판 물량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수압시험수 개략 산출표 포함</t>
    </r>
  </si>
  <si>
    <r>
      <rPr>
        <b val="true"/>
        <sz val="11"/>
        <rFont val="맑은 고딕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설계 기준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사양</t>
    </r>
  </si>
  <si>
    <t xml:space="preserve">적용 코드</t>
  </si>
  <si>
    <r>
      <rPr>
        <sz val="10"/>
        <rFont val="맑은 고딕"/>
        <family val="0"/>
        <charset val="1"/>
      </rPr>
      <t xml:space="preserve">API 650(</t>
    </r>
    <r>
      <rPr>
        <sz val="10"/>
        <rFont val="Noto Sans CJK SC"/>
        <family val="2"/>
      </rPr>
      <t xml:space="preserve">대기압</t>
    </r>
    <r>
      <rPr>
        <sz val="10"/>
        <rFont val="맑은 고딕"/>
        <family val="0"/>
        <charset val="1"/>
      </rPr>
      <t xml:space="preserve">) / API 620(</t>
    </r>
    <r>
      <rPr>
        <sz val="10"/>
        <rFont val="Noto Sans CJK SC"/>
        <family val="2"/>
      </rPr>
      <t xml:space="preserve">저압</t>
    </r>
    <r>
      <rPr>
        <sz val="10"/>
        <rFont val="맑은 고딕"/>
        <family val="0"/>
        <charset val="1"/>
      </rPr>
      <t xml:space="preserve">) / API 625(</t>
    </r>
    <r>
      <rPr>
        <sz val="10"/>
        <rFont val="Noto Sans CJK SC"/>
        <family val="2"/>
      </rPr>
      <t xml:space="preserve">냉동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발주처 표준</t>
    </r>
    <r>
      <rPr>
        <sz val="10"/>
        <rFont val="맑은 고딕"/>
        <family val="0"/>
        <charset val="1"/>
      </rPr>
      <t xml:space="preserve">, Annex </t>
    </r>
    <r>
      <rPr>
        <sz val="10"/>
        <rFont val="Noto Sans CJK SC"/>
        <family val="2"/>
      </rPr>
      <t xml:space="preserve">적용 범위 확인</t>
    </r>
  </si>
  <si>
    <t xml:space="preserve">이탱크</t>
  </si>
  <si>
    <r>
      <rPr>
        <sz val="10"/>
        <color rgb="FF0000FF"/>
        <rFont val="맑은 고딕"/>
        <family val="0"/>
        <charset val="1"/>
      </rPr>
      <t xml:space="preserve">Spec Sec.2.1 API 650 13th Ed. </t>
    </r>
    <r>
      <rPr>
        <sz val="10"/>
        <color rgb="FF0000FF"/>
        <rFont val="Noto Sans CJK SC"/>
        <family val="2"/>
      </rPr>
      <t xml:space="preserve">적용 확인</t>
    </r>
  </si>
  <si>
    <t xml:space="preserve">[R32] API 650 14th(2025), [R33] API 620 12th, [R34] API 625</t>
  </si>
  <si>
    <t xml:space="preserve">운전 조건</t>
  </si>
  <si>
    <t xml:space="preserve">설계압력·진공, 설계온도, 저장물 비중, 충전 높이 → 셸 두께 산정 기준</t>
  </si>
  <si>
    <r>
      <rPr>
        <sz val="9"/>
        <rFont val="맑은 고딕"/>
        <family val="0"/>
        <charset val="1"/>
      </rPr>
      <t xml:space="preserve">[R32] API 650 5.6 (</t>
    </r>
    <r>
      <rPr>
        <sz val="9"/>
        <rFont val="Noto Sans CJK SC"/>
        <family val="2"/>
      </rPr>
      <t xml:space="preserve">셸 설계</t>
    </r>
    <r>
      <rPr>
        <sz val="9"/>
        <rFont val="맑은 고딕"/>
        <family val="0"/>
        <charset val="1"/>
      </rPr>
      <t xml:space="preserve">)</t>
    </r>
  </si>
  <si>
    <t xml:space="preserve">부식 여유 · 재질</t>
  </si>
  <si>
    <t xml:space="preserve">셸·바닥·지붕별 CA, 재질(A283/A516/A537/SS/LTCS), 저온 시 충격시험</t>
  </si>
  <si>
    <r>
      <rPr>
        <sz val="9"/>
        <rFont val="맑은 고딕"/>
        <family val="0"/>
        <charset val="1"/>
      </rPr>
      <t xml:space="preserve">[R32] API 650 Annex S (SS), Annex X (Duplex), [R33] API 620 Annex R/Q (</t>
    </r>
    <r>
      <rPr>
        <sz val="9"/>
        <rFont val="Noto Sans CJK SC"/>
        <family val="2"/>
      </rPr>
      <t xml:space="preserve">저온</t>
    </r>
    <r>
      <rPr>
        <sz val="9"/>
        <rFont val="맑은 고딕"/>
        <family val="0"/>
        <charset val="1"/>
      </rPr>
      <t xml:space="preserve">)</t>
    </r>
  </si>
  <si>
    <t xml:space="preserve">셸 두께 산정 방식</t>
  </si>
  <si>
    <r>
      <rPr>
        <sz val="10"/>
        <rFont val="맑은 고딕"/>
        <family val="0"/>
        <charset val="1"/>
      </rPr>
      <t xml:space="preserve">1-Foot / Variable Design Point </t>
    </r>
    <r>
      <rPr>
        <sz val="10"/>
        <rFont val="Noto Sans CJK SC"/>
        <family val="2"/>
      </rPr>
      <t xml:space="preserve">적용 → 강판 물량 차이</t>
    </r>
  </si>
  <si>
    <r>
      <rPr>
        <sz val="9"/>
        <rFont val="맑은 고딕"/>
        <family val="0"/>
        <charset val="1"/>
      </rPr>
      <t xml:space="preserve">[R32] API 650 5.6.3 (1-Foot</t>
    </r>
    <r>
      <rPr>
        <sz val="9"/>
        <rFont val="Noto Sans CJK SC"/>
        <family val="2"/>
      </rPr>
      <t xml:space="preserve">법</t>
    </r>
    <r>
      <rPr>
        <sz val="9"/>
        <rFont val="맑은 고딕"/>
        <family val="0"/>
        <charset val="1"/>
      </rPr>
      <t xml:space="preserve">, D&gt;61m </t>
    </r>
    <r>
      <rPr>
        <sz val="9"/>
        <rFont val="Noto Sans CJK SC"/>
        <family val="2"/>
      </rPr>
      <t xml:space="preserve">불가</t>
    </r>
    <r>
      <rPr>
        <sz val="9"/>
        <rFont val="맑은 고딕"/>
        <family val="0"/>
        <charset val="1"/>
      </rPr>
      <t xml:space="preserve">) / 5.6.4 (Variable Design Point)</t>
    </r>
  </si>
  <si>
    <t xml:space="preserve">내진 · 풍하중</t>
  </si>
  <si>
    <r>
      <rPr>
        <sz val="10"/>
        <rFont val="맑은 고딕"/>
        <family val="0"/>
        <charset val="1"/>
      </rPr>
      <t xml:space="preserve">KDS </t>
    </r>
    <r>
      <rPr>
        <sz val="10"/>
        <rFont val="Noto Sans CJK SC"/>
        <family val="2"/>
      </rPr>
      <t xml:space="preserve">내진 기준</t>
    </r>
    <r>
      <rPr>
        <sz val="10"/>
        <rFont val="맑은 고딕"/>
        <family val="0"/>
        <charset val="1"/>
      </rPr>
      <t xml:space="preserve">, API 650 Annex E, </t>
    </r>
    <r>
      <rPr>
        <sz val="10"/>
        <rFont val="Noto Sans CJK SC"/>
        <family val="2"/>
      </rPr>
      <t xml:space="preserve">앵커 볼트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앵커 체어 필요 여부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풍하중 보강링</t>
    </r>
  </si>
  <si>
    <t xml:space="preserve">E / P / C</t>
  </si>
  <si>
    <t xml:space="preserve">[R32] API 650 Annex E, 5.9, 5.11, 5.12 / [R10] KDS 41 17 00 19.6</t>
  </si>
  <si>
    <t xml:space="preserve">지붕 형식</t>
  </si>
  <si>
    <r>
      <rPr>
        <sz val="10"/>
        <rFont val="맑은 고딕"/>
        <family val="0"/>
        <charset val="1"/>
      </rPr>
      <t xml:space="preserve">Cone / Dome / </t>
    </r>
    <r>
      <rPr>
        <sz val="10"/>
        <rFont val="Noto Sans CJK SC"/>
        <family val="2"/>
      </rPr>
      <t xml:space="preserve">외부 부상지붕</t>
    </r>
    <r>
      <rPr>
        <sz val="10"/>
        <rFont val="맑은 고딕"/>
        <family val="0"/>
        <charset val="1"/>
      </rPr>
      <t xml:space="preserve">(EFR) / </t>
    </r>
    <r>
      <rPr>
        <sz val="10"/>
        <rFont val="Noto Sans CJK SC"/>
        <family val="2"/>
      </rPr>
      <t xml:space="preserve">내부 부상지붕</t>
    </r>
    <r>
      <rPr>
        <sz val="10"/>
        <rFont val="맑은 고딕"/>
        <family val="0"/>
        <charset val="1"/>
      </rPr>
      <t xml:space="preserve">(IFR) / </t>
    </r>
    <r>
      <rPr>
        <sz val="10"/>
        <rFont val="Noto Sans CJK SC"/>
        <family val="2"/>
      </rPr>
      <t xml:space="preserve">알루미늄 돔</t>
    </r>
  </si>
  <si>
    <r>
      <rPr>
        <sz val="9"/>
        <rFont val="맑은 고딕"/>
        <family val="0"/>
        <charset val="1"/>
      </rPr>
      <t xml:space="preserve">[R32] API 650 Annex C (EFR), G (</t>
    </r>
    <r>
      <rPr>
        <sz val="9"/>
        <rFont val="Noto Sans CJK SC"/>
        <family val="2"/>
      </rPr>
      <t xml:space="preserve">알루미늄 돔</t>
    </r>
    <r>
      <rPr>
        <sz val="9"/>
        <rFont val="맑은 고딕"/>
        <family val="0"/>
        <charset val="1"/>
      </rPr>
      <t xml:space="preserve">), H (IFR)</t>
    </r>
  </si>
  <si>
    <t xml:space="preserve">부상지붕 Seal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</si>
  <si>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·2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0"/>
        <charset val="1"/>
      </rPr>
      <t xml:space="preserve">Seal </t>
    </r>
    <r>
      <rPr>
        <sz val="10"/>
        <rFont val="Noto Sans CJK SC"/>
        <family val="2"/>
      </rPr>
      <t xml:space="preserve">형식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배출 기준</t>
    </r>
    <r>
      <rPr>
        <sz val="10"/>
        <rFont val="맑은 고딕"/>
        <family val="0"/>
        <charset val="1"/>
      </rPr>
      <t xml:space="preserve">(VOC) </t>
    </r>
    <r>
      <rPr>
        <sz val="10"/>
        <rFont val="Noto Sans CJK SC"/>
        <family val="2"/>
      </rPr>
      <t xml:space="preserve">충족 요구</t>
    </r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</si>
  <si>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 (VOC Seal), [R32] API 650 Annex C/H</t>
    </r>
  </si>
  <si>
    <t xml:space="preserve">바닥판 형식</t>
  </si>
  <si>
    <r>
      <rPr>
        <sz val="10"/>
        <rFont val="맑은 고딕"/>
        <family val="0"/>
        <charset val="1"/>
      </rPr>
      <t xml:space="preserve">Cone-up / Cone-down, </t>
    </r>
    <r>
      <rPr>
        <sz val="10"/>
        <rFont val="Noto Sans CJK SC"/>
        <family val="2"/>
      </rPr>
      <t xml:space="preserve">이중 바닥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누설 감지 설비</t>
    </r>
    <r>
      <rPr>
        <sz val="10"/>
        <rFont val="맑은 고딕"/>
        <family val="0"/>
        <charset val="1"/>
      </rPr>
      <t xml:space="preserve">, Annular Plate </t>
    </r>
    <r>
      <rPr>
        <sz val="10"/>
        <rFont val="Noto Sans CJK SC"/>
        <family val="2"/>
      </rPr>
      <t xml:space="preserve">두께</t>
    </r>
  </si>
  <si>
    <r>
      <rPr>
        <sz val="9"/>
        <rFont val="맑은 고딕"/>
        <family val="0"/>
        <charset val="1"/>
      </rPr>
      <t xml:space="preserve">[R32] API 650 Annex I (</t>
    </r>
    <r>
      <rPr>
        <sz val="9"/>
        <rFont val="Noto Sans CJK SC"/>
        <family val="2"/>
      </rPr>
      <t xml:space="preserve">누설감지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지반보호</t>
    </r>
    <r>
      <rPr>
        <sz val="9"/>
        <rFont val="맑은 고딕"/>
        <family val="0"/>
        <charset val="1"/>
      </rPr>
      <t xml:space="preserve">)</t>
    </r>
  </si>
  <si>
    <t xml:space="preserve">노즐 · 맨홀</t>
  </si>
  <si>
    <t xml:space="preserve">노즐 수·구경·Rating, 보강판, 삽입판, 대구경 노즐 PWHT 대상 여부</t>
  </si>
  <si>
    <r>
      <rPr>
        <sz val="9"/>
        <rFont val="맑은 고딕"/>
        <family val="0"/>
        <charset val="1"/>
      </rPr>
      <t xml:space="preserve">[R32] API 650 5.7.4.2 (</t>
    </r>
    <r>
      <rPr>
        <sz val="9"/>
        <rFont val="Noto Sans CJK SC"/>
        <family val="2"/>
      </rPr>
      <t xml:space="preserve">노즐 조립체 열처리</t>
    </r>
    <r>
      <rPr>
        <sz val="9"/>
        <rFont val="맑은 고딕"/>
        <family val="0"/>
        <charset val="1"/>
      </rPr>
      <t xml:space="preserve">)</t>
    </r>
  </si>
  <si>
    <t xml:space="preserve">부속 설비</t>
  </si>
  <si>
    <t xml:space="preserve">나선계단, 플랫폼, 핸드레일, Gauge Hatch, 통기관, 화염방지기, Breather Valve</t>
  </si>
  <si>
    <r>
      <rPr>
        <sz val="9"/>
        <rFont val="맑은 고딕"/>
        <family val="0"/>
        <charset val="1"/>
      </rPr>
      <t xml:space="preserve">[R37] API Std 2000 8th (</t>
    </r>
    <r>
      <rPr>
        <sz val="9"/>
        <rFont val="Noto Sans CJK SC"/>
        <family val="2"/>
      </rPr>
      <t xml:space="preserve">통기</t>
    </r>
    <r>
      <rPr>
        <sz val="9"/>
        <rFont val="맑은 고딕"/>
        <family val="0"/>
        <charset val="1"/>
      </rPr>
      <t xml:space="preserve">)</t>
    </r>
  </si>
  <si>
    <t xml:space="preserve">소방 설비 경계</t>
  </si>
  <si>
    <t xml:space="preserve">폼 챔버, 냉각 살수 링, 소방 배관 범위 구분 (탱크 업체 vs 소방 업체)</t>
  </si>
  <si>
    <t xml:space="preserve">내부 설비</t>
  </si>
  <si>
    <r>
      <rPr>
        <sz val="10"/>
        <rFont val="맑은 고딕"/>
        <family val="0"/>
        <charset val="1"/>
      </rPr>
      <t xml:space="preserve">Heating Coil, Mixer, Swing Line, Sump, </t>
    </r>
    <r>
      <rPr>
        <sz val="10"/>
        <rFont val="Noto Sans CJK SC"/>
        <family val="2"/>
      </rPr>
      <t xml:space="preserve">내부 사다리</t>
    </r>
  </si>
  <si>
    <t xml:space="preserve">계장 · 접지</t>
  </si>
  <si>
    <t xml:space="preserve">레벨계(Radar/Servo), 온도계, 고·저 경보, 접지·피뢰 설비 범위</t>
  </si>
  <si>
    <r>
      <rPr>
        <b val="true"/>
        <sz val="11"/>
        <rFont val="맑은 고딕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법규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인허가</t>
    </r>
  </si>
  <si>
    <t xml:space="preserve">위험물안전관리법</t>
  </si>
  <si>
    <t xml:space="preserve">옥외탱크저장소 설치 허가, 보유공지, 방유제 기준</t>
  </si>
  <si>
    <r>
      <rPr>
        <sz val="10"/>
        <rFont val="맑은 고딕"/>
        <family val="0"/>
        <charset val="1"/>
      </rPr>
      <t xml:space="preserve">E / </t>
    </r>
    <r>
      <rPr>
        <sz val="10"/>
        <rFont val="Noto Sans CJK SC"/>
        <family val="2"/>
      </rPr>
      <t xml:space="preserve">일정</t>
    </r>
  </si>
  <si>
    <r>
      <rPr>
        <sz val="9"/>
        <rFont val="맑은 고딕"/>
        <family val="0"/>
        <charset val="1"/>
      </rPr>
      <t xml:space="preserve">[R02] </t>
    </r>
    <r>
      <rPr>
        <sz val="9"/>
        <rFont val="Noto Sans CJK SC"/>
        <family val="2"/>
      </rPr>
      <t xml:space="preserve">위험물법 시행규칙 별표</t>
    </r>
    <r>
      <rPr>
        <sz val="9"/>
        <rFont val="맑은 고딕"/>
        <family val="0"/>
        <charset val="1"/>
      </rPr>
      <t xml:space="preserve">6 (</t>
    </r>
    <r>
      <rPr>
        <sz val="9"/>
        <rFont val="Noto Sans CJK SC"/>
        <family val="2"/>
      </rPr>
      <t xml:space="preserve">보유공지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방유제</t>
    </r>
    <r>
      <rPr>
        <sz val="9"/>
        <rFont val="맑은 고딕"/>
        <family val="0"/>
        <charset val="1"/>
      </rPr>
      <t xml:space="preserve">)</t>
    </r>
  </si>
  <si>
    <t xml:space="preserve">탱크안전성능검사</t>
  </si>
  <si>
    <t xml:space="preserve">기초·지반검사, 충수·수압검사, 용접부검사 일정 (한국소방산업기술원) → 공정 연동</t>
  </si>
  <si>
    <t xml:space="preserve">일정 / 간접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</si>
  <si>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제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기초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지반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용접부</t>
    </r>
    <r>
      <rPr>
        <sz val="9"/>
        <rFont val="맑은 고딕"/>
        <family val="0"/>
        <charset val="1"/>
      </rPr>
      <t xml:space="preserve">: 100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L </t>
    </r>
    <r>
      <rPr>
        <sz val="9"/>
        <rFont val="Noto Sans CJK SC"/>
        <family val="2"/>
      </rPr>
      <t xml:space="preserve">이상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22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한국소방산업기술원</t>
    </r>
    <r>
      <rPr>
        <sz val="9"/>
        <rFont val="맑은 고딕"/>
        <family val="0"/>
        <charset val="1"/>
      </rPr>
      <t xml:space="preserve">)</t>
    </r>
  </si>
  <si>
    <t xml:space="preserve">완공검사</t>
  </si>
  <si>
    <t xml:space="preserve">완공검사 신청 시점, 검사 지적사항 보완 기간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</si>
  <si>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제</t>
    </r>
    <r>
      <rPr>
        <sz val="9"/>
        <rFont val="맑은 고딕"/>
        <family val="0"/>
        <charset val="1"/>
      </rPr>
      <t xml:space="preserve">9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22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(50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L </t>
    </r>
    <r>
      <rPr>
        <sz val="9"/>
        <rFont val="Noto Sans CJK SC"/>
        <family val="2"/>
      </rPr>
      <t xml:space="preserve">이상 옥외탱크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기술원</t>
    </r>
    <r>
      <rPr>
        <sz val="9"/>
        <rFont val="맑은 고딕"/>
        <family val="0"/>
        <charset val="1"/>
      </rPr>
      <t xml:space="preserve">)</t>
    </r>
  </si>
  <si>
    <t xml:space="preserve">화관법 · 고압가스</t>
  </si>
  <si>
    <t xml:space="preserve">유해화학물질 저장 시 화학사고예방관리계획서·취급시설 기준, 압력 저장 시 고압가스법 적용 여부</t>
  </si>
  <si>
    <r>
      <rPr>
        <sz val="9"/>
        <rFont val="맑은 고딕"/>
        <family val="0"/>
        <charset val="1"/>
      </rPr>
      <t xml:space="preserve">[R03] </t>
    </r>
    <r>
      <rPr>
        <sz val="9"/>
        <rFont val="Noto Sans CJK SC"/>
        <family val="2"/>
      </rPr>
      <t xml:space="preserve">화관법 제</t>
    </r>
    <r>
      <rPr>
        <sz val="9"/>
        <rFont val="맑은 고딕"/>
        <family val="0"/>
        <charset val="1"/>
      </rPr>
      <t xml:space="preserve">24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[R07] </t>
    </r>
    <r>
      <rPr>
        <sz val="9"/>
        <rFont val="Noto Sans CJK SC"/>
        <family val="2"/>
      </rPr>
      <t xml:space="preserve">고압가스법 제</t>
    </r>
    <r>
      <rPr>
        <sz val="9"/>
        <rFont val="맑은 고딕"/>
        <family val="0"/>
        <charset val="1"/>
      </rPr>
      <t xml:space="preserve">16</t>
    </r>
    <r>
      <rPr>
        <sz val="9"/>
        <rFont val="Noto Sans CJK SC"/>
        <family val="2"/>
      </rPr>
      <t xml:space="preserve">조</t>
    </r>
  </si>
  <si>
    <t xml:space="preserve">환경</t>
  </si>
  <si>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배출 기준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부상지붕 </t>
    </r>
    <r>
      <rPr>
        <sz val="10"/>
        <rFont val="맑은 고딕"/>
        <family val="0"/>
        <charset val="1"/>
      </rPr>
      <t xml:space="preserve">Seal), </t>
    </r>
    <r>
      <rPr>
        <sz val="10"/>
        <rFont val="Noto Sans CJK SC"/>
        <family val="2"/>
      </rPr>
      <t xml:space="preserve">블라스팅 비산먼지 규제</t>
    </r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</si>
  <si>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</t>
    </r>
  </si>
  <si>
    <r>
      <rPr>
        <b val="true"/>
        <sz val="11"/>
        <rFont val="맑은 고딕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기초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토목</t>
    </r>
  </si>
  <si>
    <t xml:space="preserve">기초</t>
  </si>
  <si>
    <t xml:space="preserve">지반조사 · 기초 형식</t>
  </si>
  <si>
    <t xml:space="preserve">링월(Ringwall) / 매트 / 파일 기초 선택, 연약지반 개량</t>
  </si>
  <si>
    <t xml:space="preserve">[R32] API 650 Annex B</t>
  </si>
  <si>
    <t xml:space="preserve">허용 침하</t>
  </si>
  <si>
    <r>
      <rPr>
        <sz val="10"/>
        <rFont val="맑은 고딕"/>
        <family val="0"/>
        <charset val="1"/>
      </rPr>
      <t xml:space="preserve">API 650 Annex B </t>
    </r>
    <r>
      <rPr>
        <sz val="10"/>
        <rFont val="Noto Sans CJK SC"/>
        <family val="2"/>
      </rPr>
      <t xml:space="preserve">침하 기준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수압시험 중 침하 측정 계획</t>
    </r>
  </si>
  <si>
    <r>
      <rPr>
        <sz val="10"/>
        <rFont val="맑은 고딕"/>
        <family val="0"/>
        <charset val="1"/>
      </rPr>
      <t xml:space="preserve">C / </t>
    </r>
    <r>
      <rPr>
        <sz val="10"/>
        <rFont val="Noto Sans CJK SC"/>
        <family val="2"/>
      </rPr>
      <t xml:space="preserve">리스크</t>
    </r>
  </si>
  <si>
    <r>
      <rPr>
        <sz val="9"/>
        <rFont val="맑은 고딕"/>
        <family val="0"/>
        <charset val="1"/>
      </rPr>
      <t xml:space="preserve">[R32] API 650 Annex B, [R36] API 653 Annex B (</t>
    </r>
    <r>
      <rPr>
        <sz val="9"/>
        <rFont val="Noto Sans CJK SC"/>
        <family val="2"/>
      </rPr>
      <t xml:space="preserve">침하 평가</t>
    </r>
    <r>
      <rPr>
        <sz val="9"/>
        <rFont val="맑은 고딕"/>
        <family val="0"/>
        <charset val="1"/>
      </rPr>
      <t xml:space="preserve">)</t>
    </r>
  </si>
  <si>
    <t xml:space="preserve">바닥 하부 처리</t>
  </si>
  <si>
    <t xml:space="preserve">샌드 패드, 아스팔트 샌드, 배수 구배, 기초 레벨 허용오차</t>
  </si>
  <si>
    <t xml:space="preserve">[R32] API 650 Annex B / Annex I</t>
  </si>
  <si>
    <t xml:space="preserve">바닥 외면 전기방식</t>
  </si>
  <si>
    <t xml:space="preserve">탱크 바닥 CP 설치 여부, Liner 설치</t>
  </si>
  <si>
    <t xml:space="preserve">[R35] API RP 651 5th (2024)</t>
  </si>
  <si>
    <t xml:space="preserve">방유제 (Dike)</t>
  </si>
  <si>
    <t xml:space="preserve">용량 기준(최대 탱크 용량 대비), 방유제 높이·재질, 칸막이 둑</t>
  </si>
  <si>
    <r>
      <rPr>
        <sz val="9"/>
        <rFont val="맑은 고딕"/>
        <family val="0"/>
        <charset val="1"/>
      </rPr>
      <t xml:space="preserve">[R02] </t>
    </r>
    <r>
      <rPr>
        <sz val="9"/>
        <rFont val="Noto Sans CJK SC"/>
        <family val="2"/>
      </rPr>
      <t xml:space="preserve">위험물법 시행규칙 별표</t>
    </r>
    <r>
      <rPr>
        <sz val="9"/>
        <rFont val="맑은 고딕"/>
        <family val="0"/>
        <charset val="1"/>
      </rPr>
      <t xml:space="preserve">6 (</t>
    </r>
    <r>
      <rPr>
        <sz val="9"/>
        <rFont val="Noto Sans CJK SC"/>
        <family val="2"/>
      </rPr>
      <t xml:space="preserve">용량 </t>
    </r>
    <r>
      <rPr>
        <sz val="9"/>
        <rFont val="맑은 고딕"/>
        <family val="0"/>
        <charset val="1"/>
      </rPr>
      <t xml:space="preserve">110%, </t>
    </r>
    <r>
      <rPr>
        <sz val="9"/>
        <rFont val="Noto Sans CJK SC"/>
        <family val="2"/>
      </rPr>
      <t xml:space="preserve">높이 </t>
    </r>
    <r>
      <rPr>
        <sz val="9"/>
        <rFont val="맑은 고딕"/>
        <family val="0"/>
        <charset val="1"/>
      </rPr>
      <t xml:space="preserve">0.5~3m)</t>
    </r>
  </si>
  <si>
    <t xml:space="preserve">범위 구분</t>
  </si>
  <si>
    <t xml:space="preserve">기초 공사가 탱크 업체 범위인지 토목 업체 범위인지 명확화</t>
  </si>
  <si>
    <r>
      <rPr>
        <b val="true"/>
        <sz val="11"/>
        <rFont val="맑은 고딕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자재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구매</t>
    </r>
  </si>
  <si>
    <t xml:space="preserve">강판 물량 · Nesting</t>
  </si>
  <si>
    <t xml:space="preserve">판 배치(Nesting)에 따른 스크랩율, 판 폭·길이 규격 → 물량 할증</t>
  </si>
  <si>
    <t xml:space="preserve">강재 가격 변동</t>
  </si>
  <si>
    <t xml:space="preserve">철강 가격 변동성, 견적 유효기간, 물가 조정 조항 유무</t>
  </si>
  <si>
    <t xml:space="preserve">밀시트 · 추적성</t>
  </si>
  <si>
    <r>
      <rPr>
        <sz val="10"/>
        <rFont val="맑은 고딕"/>
        <family val="0"/>
        <charset val="1"/>
      </rPr>
      <t xml:space="preserve">MTC 3.1/3.2 </t>
    </r>
    <r>
      <rPr>
        <sz val="10"/>
        <rFont val="Noto Sans CJK SC"/>
        <family val="2"/>
      </rPr>
      <t xml:space="preserve">요구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판 마킹 이관 관리</t>
    </r>
  </si>
  <si>
    <t xml:space="preserve">[R21] EN 10204 3.1/3.2</t>
  </si>
  <si>
    <t xml:space="preserve">강판 운송</t>
  </si>
  <si>
    <t xml:space="preserve">대형판·롤링판 육상 운송 제한, 현장 하역·보관</t>
  </si>
  <si>
    <r>
      <rPr>
        <sz val="10"/>
        <rFont val="맑은 고딕"/>
        <family val="0"/>
        <charset val="1"/>
      </rPr>
      <t xml:space="preserve">P / </t>
    </r>
    <r>
      <rPr>
        <sz val="10"/>
        <rFont val="Noto Sans CJK SC"/>
        <family val="2"/>
      </rPr>
      <t xml:space="preserve">간접</t>
    </r>
  </si>
  <si>
    <t xml:space="preserve">부상지붕 · 돔 벤더</t>
  </si>
  <si>
    <t xml:space="preserve">알루미늄 돔, IFR, Seal 전문 벤더 견적 확보 및 설치 범위</t>
  </si>
  <si>
    <t xml:space="preserve">[R32] API 650 Annex G / H</t>
  </si>
  <si>
    <t xml:space="preserve">노즐 · 플랜지</t>
  </si>
  <si>
    <t xml:space="preserve">단조품 사양, 납기, 보강판 재질 동일 여부</t>
  </si>
  <si>
    <t xml:space="preserve">볼트·가스켓 · 소모품</t>
  </si>
  <si>
    <t xml:space="preserve">맨홀 가스켓, 용접봉·가스 등 소모품</t>
  </si>
  <si>
    <r>
      <rPr>
        <b val="true"/>
        <sz val="11"/>
        <rFont val="맑은 고딕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제작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설치</t>
    </r>
  </si>
  <si>
    <t xml:space="preserve">제작</t>
  </si>
  <si>
    <t xml:space="preserve">공장 제작 범위</t>
  </si>
  <si>
    <t xml:space="preserve">강판 절단·개선·롤링, 노즐 Sub-assembly의 공장/현장 구분</t>
  </si>
  <si>
    <t xml:space="preserve">설치</t>
  </si>
  <si>
    <t xml:space="preserve">조립 공법</t>
  </si>
  <si>
    <r>
      <rPr>
        <sz val="10"/>
        <rFont val="맑은 고딕"/>
        <family val="0"/>
        <charset val="1"/>
      </rPr>
      <t xml:space="preserve">Jack-up(</t>
    </r>
    <r>
      <rPr>
        <sz val="10"/>
        <rFont val="Noto Sans CJK SC"/>
        <family val="2"/>
      </rPr>
      <t xml:space="preserve">상향 조립</t>
    </r>
    <r>
      <rPr>
        <sz val="10"/>
        <rFont val="맑은 고딕"/>
        <family val="0"/>
        <charset val="1"/>
      </rPr>
      <t xml:space="preserve">) / </t>
    </r>
    <r>
      <rPr>
        <sz val="10"/>
        <rFont val="Noto Sans CJK SC"/>
        <family val="2"/>
      </rPr>
      <t xml:space="preserve">하향식 조립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잭 장비 임차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설치</t>
    </r>
  </si>
  <si>
    <t xml:space="preserve">용접 방식 · 생산성</t>
  </si>
  <si>
    <t xml:space="preserve">셸 자동 용접(수평·수직 AGW) 적용 여부, 톤당 MH 기준</t>
  </si>
  <si>
    <t xml:space="preserve">지붕 설치</t>
  </si>
  <si>
    <r>
      <rPr>
        <sz val="10"/>
        <rFont val="맑은 고딕"/>
        <family val="0"/>
        <charset val="1"/>
      </rPr>
      <t xml:space="preserve">Air Raising(</t>
    </r>
    <r>
      <rPr>
        <sz val="10"/>
        <rFont val="Noto Sans CJK SC"/>
        <family val="2"/>
      </rPr>
      <t xml:space="preserve">돔 지붕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크레인 </t>
    </r>
    <r>
      <rPr>
        <sz val="10"/>
        <rFont val="맑은 고딕"/>
        <family val="0"/>
        <charset val="1"/>
      </rPr>
      <t xml:space="preserve">Lifting, </t>
    </r>
    <r>
      <rPr>
        <sz val="10"/>
        <rFont val="Noto Sans CJK SC"/>
        <family val="2"/>
      </rPr>
      <t xml:space="preserve">부상지붕 </t>
    </r>
    <r>
      <rPr>
        <sz val="10"/>
        <rFont val="맑은 고딕"/>
        <family val="0"/>
        <charset val="1"/>
      </rPr>
      <t xml:space="preserve">Pontoon </t>
    </r>
    <r>
      <rPr>
        <sz val="10"/>
        <rFont val="Noto Sans CJK SC"/>
        <family val="2"/>
      </rPr>
      <t xml:space="preserve">조립</t>
    </r>
  </si>
  <si>
    <t xml:space="preserve">크레인 · 장비</t>
  </si>
  <si>
    <t xml:space="preserve">대형 크레인 동원, 잭 장비, 용접기·발전기, 다수 탱크 동시 시 장비 순환 계획</t>
  </si>
  <si>
    <t xml:space="preserve">비계 · 작업대</t>
  </si>
  <si>
    <t xml:space="preserve">셸 외부·내부 비계 또는 전용 작업대, 고소 안전시설</t>
  </si>
  <si>
    <t xml:space="preserve">후판 셸·삽입판 노즐 조립품 PWHT, 저온 재질 예열</t>
  </si>
  <si>
    <t xml:space="preserve">[R32] API 650 5.7.4.2</t>
  </si>
  <si>
    <t xml:space="preserve">치수 관리</t>
  </si>
  <si>
    <t xml:space="preserve">진원도, 수직도, Peaking·Banding 허용오차 → 교정 작업 리스크</t>
  </si>
  <si>
    <r>
      <rPr>
        <sz val="9"/>
        <rFont val="맑은 고딕"/>
        <family val="0"/>
        <charset val="1"/>
      </rPr>
      <t xml:space="preserve">[R32] API 650 7.5 (</t>
    </r>
    <r>
      <rPr>
        <sz val="9"/>
        <rFont val="Noto Sans CJK SC"/>
        <family val="2"/>
      </rPr>
      <t xml:space="preserve">수직도 </t>
    </r>
    <r>
      <rPr>
        <sz val="9"/>
        <rFont val="맑은 고딕"/>
        <family val="0"/>
        <charset val="1"/>
      </rPr>
      <t xml:space="preserve">H/200, </t>
    </r>
    <r>
      <rPr>
        <sz val="9"/>
        <rFont val="Noto Sans CJK SC"/>
        <family val="2"/>
      </rPr>
      <t xml:space="preserve">진원도</t>
    </r>
    <r>
      <rPr>
        <sz val="9"/>
        <rFont val="맑은 고딕"/>
        <family val="0"/>
        <charset val="1"/>
      </rPr>
      <t xml:space="preserve">, Peaking·Banding)</t>
    </r>
  </si>
  <si>
    <t xml:space="preserve">기상 영향</t>
  </si>
  <si>
    <t xml:space="preserve">강풍 시 강판 인양·조립 불가, 우천 시 용접 중단 → 공기 여유</t>
  </si>
  <si>
    <r>
      <rPr>
        <b val="true"/>
        <sz val="11"/>
        <rFont val="맑은 고딕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검사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시험</t>
    </r>
  </si>
  <si>
    <t xml:space="preserve">검사</t>
  </si>
  <si>
    <t xml:space="preserve">셸 용접부 RT</t>
  </si>
  <si>
    <r>
      <rPr>
        <sz val="10"/>
        <rFont val="맑은 고딕"/>
        <family val="0"/>
        <charset val="1"/>
      </rPr>
      <t xml:space="preserve">API 650 Spot RT </t>
    </r>
    <r>
      <rPr>
        <sz val="10"/>
        <rFont val="Noto Sans CJK SC"/>
        <family val="2"/>
      </rPr>
      <t xml:space="preserve">기준 </t>
    </r>
    <r>
      <rPr>
        <sz val="10"/>
        <rFont val="맑은 고딕"/>
        <family val="0"/>
        <charset val="1"/>
      </rPr>
      <t xml:space="preserve">vs </t>
    </r>
    <r>
      <rPr>
        <sz val="10"/>
        <rFont val="Noto Sans CJK SC"/>
        <family val="2"/>
      </rPr>
      <t xml:space="preserve">발주처 추가 요구 비율</t>
    </r>
  </si>
  <si>
    <r>
      <rPr>
        <sz val="9"/>
        <rFont val="맑은 고딕"/>
        <family val="0"/>
        <charset val="1"/>
      </rPr>
      <t xml:space="preserve">[R32] API 650 8.1 (Spot RT </t>
    </r>
    <r>
      <rPr>
        <sz val="9"/>
        <rFont val="Noto Sans CJK SC"/>
        <family val="2"/>
      </rPr>
      <t xml:space="preserve">세부 조항 미확인</t>
    </r>
    <r>
      <rPr>
        <sz val="9"/>
        <rFont val="맑은 고딕"/>
        <family val="0"/>
        <charset val="1"/>
      </rPr>
      <t xml:space="preserve">)</t>
    </r>
  </si>
  <si>
    <t xml:space="preserve">바닥 진공시험</t>
  </si>
  <si>
    <t xml:space="preserve">바닥·Annular 용접부 Vacuum Box Test, Tracer Gas 요구 여부</t>
  </si>
  <si>
    <r>
      <rPr>
        <sz val="9"/>
        <rFont val="맑은 고딕"/>
        <family val="0"/>
        <charset val="1"/>
      </rPr>
      <t xml:space="preserve">[R32] API 650 (</t>
    </r>
    <r>
      <rPr>
        <sz val="9"/>
        <rFont val="Noto Sans CJK SC"/>
        <family val="2"/>
      </rPr>
      <t xml:space="preserve">진공시험 조항 번호 미확인 — </t>
    </r>
    <r>
      <rPr>
        <sz val="9"/>
        <rFont val="맑은 고딕"/>
        <family val="0"/>
        <charset val="1"/>
      </rPr>
      <t xml:space="preserve">14</t>
    </r>
    <r>
      <rPr>
        <sz val="9"/>
        <rFont val="Noto Sans CJK SC"/>
        <family val="2"/>
      </rPr>
      <t xml:space="preserve">판 원문 확인</t>
    </r>
    <r>
      <rPr>
        <sz val="9"/>
        <rFont val="맑은 고딕"/>
        <family val="0"/>
        <charset val="1"/>
      </rPr>
      <t xml:space="preserve">)</t>
    </r>
  </si>
  <si>
    <t xml:space="preserve">MT / PT</t>
  </si>
  <si>
    <t xml:space="preserve">셸-바닥 T-joint, 노즐 용접부 표면 검사</t>
  </si>
  <si>
    <r>
      <rPr>
        <sz val="9"/>
        <rFont val="맑은 고딕"/>
        <family val="0"/>
        <charset val="1"/>
      </rPr>
      <t xml:space="preserve">[R32] API 650 (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</si>
  <si>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t xml:space="preserve">보강판 · 지붕 시험</t>
  </si>
  <si>
    <t xml:space="preserve">보강판 Air Test, 지붕 기밀 시험</t>
  </si>
  <si>
    <t xml:space="preserve">수압(충수) 시험수</t>
  </si>
  <si>
    <t xml:space="preserve">시험수 공급원·용량, 수질(SS 탱크 염화물 기준), 시험 후 배수 처리 비용</t>
  </si>
  <si>
    <r>
      <rPr>
        <sz val="9"/>
        <rFont val="맑은 고딕"/>
        <family val="0"/>
        <charset val="1"/>
      </rPr>
      <t xml:space="preserve">[R32] API 650 7.3.6, Annex S.4.10.1 (SS </t>
    </r>
    <r>
      <rPr>
        <sz val="9"/>
        <rFont val="Noto Sans CJK SC"/>
        <family val="2"/>
      </rPr>
      <t xml:space="preserve">시험수 염화물 </t>
    </r>
    <r>
      <rPr>
        <sz val="9"/>
        <rFont val="맑은 고딕"/>
        <family val="0"/>
        <charset val="1"/>
      </rPr>
      <t xml:space="preserve">50 ppm), [R31] ASME PCC-2</t>
    </r>
  </si>
  <si>
    <t xml:space="preserve">충수 기간 · 침하 측정</t>
  </si>
  <si>
    <t xml:space="preserve">충수·유지·배수 기간(수일~수주), 단계별 침하 측정 → 공정 반영</t>
  </si>
  <si>
    <r>
      <rPr>
        <sz val="9"/>
        <rFont val="맑은 고딕"/>
        <family val="0"/>
        <charset val="1"/>
      </rPr>
      <t xml:space="preserve">[R32] API 650 7.3.6 / Annex B, [R01] </t>
    </r>
    <r>
      <rPr>
        <sz val="9"/>
        <rFont val="Noto Sans CJK SC"/>
        <family val="2"/>
      </rPr>
      <t xml:space="preserve">충수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수압검사</t>
    </r>
  </si>
  <si>
    <t xml:space="preserve">부상지붕 작동시험</t>
  </si>
  <si>
    <t xml:space="preserve">충수 시 지붕 부상·착지 확인, Seal 간극 점검</t>
  </si>
  <si>
    <r>
      <rPr>
        <sz val="9"/>
        <rFont val="맑은 고딕"/>
        <family val="0"/>
        <charset val="1"/>
      </rPr>
      <t xml:space="preserve">[R32] API 650 Annex C / H (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</si>
  <si>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t xml:space="preserve">제3자 검사 입회</t>
  </si>
  <si>
    <t xml:space="preserve">발주처 검사원·공인검사원 입회 일정 대기</t>
  </si>
  <si>
    <r>
      <rPr>
        <b val="true"/>
        <sz val="11"/>
        <rFont val="맑은 고딕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도장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보온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마무리</t>
    </r>
  </si>
  <si>
    <t xml:space="preserve">도장</t>
  </si>
  <si>
    <t xml:space="preserve">표면처리</t>
  </si>
  <si>
    <t xml:space="preserve">블라스팅 등급(Sa 2.5 등), 현장 블라스팅 환경 규제 및 집진</t>
  </si>
  <si>
    <t xml:space="preserve">[R28] ISO 8501-1:2007 (Sa 2½)</t>
  </si>
  <si>
    <t xml:space="preserve">내부 라이닝 · 코팅</t>
  </si>
  <si>
    <t xml:space="preserve">바닥·하부 셸 코팅, 저장물별 전면 라이닝 요구</t>
  </si>
  <si>
    <t xml:space="preserve">외부 도장 시스템</t>
  </si>
  <si>
    <t xml:space="preserve">도막 두께·층수, 색상·표기(탱크 번호·로고)</t>
  </si>
  <si>
    <t xml:space="preserve">보온</t>
  </si>
  <si>
    <t xml:space="preserve">보온 · 보냉</t>
  </si>
  <si>
    <t xml:space="preserve">보온 범위(셸만/지붕 포함), 외장재, Heating Tank 보온</t>
  </si>
  <si>
    <t xml:space="preserve">마무리</t>
  </si>
  <si>
    <t xml:space="preserve">청소 · 인계</t>
  </si>
  <si>
    <t xml:space="preserve">내부 청소, 건조, 맨홀 봉인, 명판 부착, 준공도서</t>
  </si>
  <si>
    <r>
      <rPr>
        <b val="true"/>
        <sz val="11"/>
        <rFont val="맑은 고딕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상업조건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현장 여건</t>
    </r>
  </si>
  <si>
    <t xml:space="preserve">상업</t>
  </si>
  <si>
    <t xml:space="preserve">계약 단가 방식</t>
  </si>
  <si>
    <t xml:space="preserve">톤당 단가 vs Lump-Sum, 물량 변동 시 정산 기준</t>
  </si>
  <si>
    <t xml:space="preserve">시험수 · 유틸리티 책임</t>
  </si>
  <si>
    <t xml:space="preserve">시험수·공사 전력·압축공기 공급 주체</t>
  </si>
  <si>
    <t xml:space="preserve">침하 · 하자 책임</t>
  </si>
  <si>
    <t xml:space="preserve">기초 범위가 타사일 때 침하에 따른 탱크 변형 책임 구분</t>
  </si>
  <si>
    <t xml:space="preserve">탱크 야드 배치</t>
  </si>
  <si>
    <t xml:space="preserve">작업 동선, 강판 야적 공간, 인접 탱크 동시 시공 간섭</t>
  </si>
  <si>
    <t xml:space="preserve">기존 탱크 인접 공사</t>
  </si>
  <si>
    <t xml:space="preserve">운전 중 탱크 인접 화기 작업 제한, 가스 측정, 작업허가</t>
  </si>
  <si>
    <t xml:space="preserve">노무</t>
  </si>
  <si>
    <t xml:space="preserve">탱크 전문 용접사·취부공 수급, 해외 공사 시 인력 조달</t>
  </si>
  <si>
    <r>
      <rPr>
        <b val="true"/>
        <sz val="12"/>
        <rFont val="맑은 고딕"/>
        <family val="0"/>
        <charset val="1"/>
      </rPr>
      <t xml:space="preserve">[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맑은 고딕"/>
        <family val="0"/>
        <charset val="1"/>
      </rPr>
      <t xml:space="preserve">] </t>
    </r>
    <r>
      <rPr>
        <b val="true"/>
        <sz val="12"/>
        <rFont val="Noto Sans CJK SC"/>
        <family val="2"/>
      </rPr>
      <t xml:space="preserve">탱크 </t>
    </r>
    <r>
      <rPr>
        <b val="true"/>
        <sz val="12"/>
        <rFont val="맑은 고딕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기 강판 물량 </t>
    </r>
    <r>
      <rPr>
        <b val="true"/>
        <sz val="12"/>
        <rFont val="맑은 고딕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수압시험수 개략 산출 </t>
    </r>
    <r>
      <rPr>
        <b val="true"/>
        <sz val="12"/>
        <rFont val="맑은 고딕"/>
        <family val="0"/>
        <charset val="1"/>
      </rPr>
      <t xml:space="preserve">(Cone Roof </t>
    </r>
    <r>
      <rPr>
        <b val="true"/>
        <sz val="12"/>
        <rFont val="Noto Sans CJK SC"/>
        <family val="2"/>
      </rPr>
      <t xml:space="preserve">기준</t>
    </r>
    <r>
      <rPr>
        <b val="true"/>
        <sz val="12"/>
        <rFont val="맑은 고딕"/>
        <family val="0"/>
        <charset val="1"/>
      </rPr>
      <t xml:space="preserve">)</t>
    </r>
  </si>
  <si>
    <t xml:space="preserve">입찰 초기 개략 검토용. 노란 칸 입력 → 물량 자동 계산. 샘플 값은 P_기자재 시트의 5,000m3 탱크 가정이며, 실제는 셸 단별 두께 계산 결과로 대체하세요.</t>
  </si>
  <si>
    <t xml:space="preserve">항목</t>
  </si>
  <si>
    <t xml:space="preserve">값</t>
  </si>
  <si>
    <t xml:space="preserve">단위</t>
  </si>
  <si>
    <t xml:space="preserve">탱크 내경 (D)</t>
  </si>
  <si>
    <t xml:space="preserve">m</t>
  </si>
  <si>
    <t xml:space="preserve">셸 높이 (H)</t>
  </si>
  <si>
    <t xml:space="preserve">셸 평균 두께 (CA 포함)</t>
  </si>
  <si>
    <t xml:space="preserve">mm</t>
  </si>
  <si>
    <t xml:space="preserve">단별 두께의 높이 가중 평균</t>
  </si>
  <si>
    <t xml:space="preserve">바닥판 두께 (Annular 평균 포함)</t>
  </si>
  <si>
    <t xml:space="preserve">지붕판 두께</t>
  </si>
  <si>
    <t xml:space="preserve">지붕 면적 계수 (Cone 경사 반영)</t>
  </si>
  <si>
    <t xml:space="preserve">배</t>
  </si>
  <si>
    <t xml:space="preserve">평면 면적 대비 경사면 면적 비율</t>
  </si>
  <si>
    <t xml:space="preserve">부속·구조물 할증 (계단·노즐·보강재·지붕구조)</t>
  </si>
  <si>
    <t xml:space="preserve">강판 합계 대비 비율</t>
  </si>
  <si>
    <r>
      <rPr>
        <sz val="10"/>
        <rFont val="맑은 고딕"/>
        <family val="0"/>
        <charset val="1"/>
      </rPr>
      <t xml:space="preserve">Nesting </t>
    </r>
    <r>
      <rPr>
        <sz val="10"/>
        <rFont val="Noto Sans CJK SC"/>
        <family val="2"/>
      </rPr>
      <t xml:space="preserve">스크랩 할증</t>
    </r>
  </si>
  <si>
    <t xml:space="preserve">강재 밀도</t>
  </si>
  <si>
    <t xml:space="preserve">t/m3</t>
  </si>
  <si>
    <t xml:space="preserve">공칭 용량 (π/4·D²·H)</t>
  </si>
  <si>
    <t xml:space="preserve">m3</t>
  </si>
  <si>
    <t xml:space="preserve">셸 강판 중량</t>
  </si>
  <si>
    <t xml:space="preserve">ton</t>
  </si>
  <si>
    <t xml:space="preserve">바닥판 중량</t>
  </si>
  <si>
    <t xml:space="preserve">지붕판 중량</t>
  </si>
  <si>
    <t xml:space="preserve">강판 소계</t>
  </si>
  <si>
    <t xml:space="preserve">부속·구조물</t>
  </si>
  <si>
    <t xml:space="preserve">순 설치 중량</t>
  </si>
  <si>
    <t xml:space="preserve">설치 MH 산정 기준 (톤당 MH × 순중량)</t>
  </si>
  <si>
    <t xml:space="preserve">구매 중량 (스크랩 포함)</t>
  </si>
  <si>
    <t xml:space="preserve">자재 구매 기준</t>
  </si>
  <si>
    <t xml:space="preserve">수압시험수 소요량 (만수 기준)</t>
  </si>
  <si>
    <t xml:space="preserve">공급원·배수처리·SS 탱크 수질 기준 확인</t>
  </si>
  <si>
    <t xml:space="preserve">※ 출처: 셸 두께 산정 [R32] API 650 5.6 / 최소 두께 5.6.1.1, 시험수 [R32] 7.3.6. 강재 밀도 7.85 t/m³는 일반 공학값, 부속 할증·스크랩율은 실무 예시값(D) — 회사 실적으로 교체</t>
  </si>
  <si>
    <t xml:space="preserve">저장탱크 타입별 견적 고려사항</t>
  </si>
  <si>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탱크제작 체크리스트</t>
    </r>
    <r>
      <rPr>
        <i val="true"/>
        <sz val="9"/>
        <color rgb="FF666666"/>
        <rFont val="맑은 고딕"/>
        <family val="0"/>
        <charset val="1"/>
      </rPr>
      <t xml:space="preserve">'(</t>
    </r>
    <r>
      <rPr>
        <i val="true"/>
        <sz val="9"/>
        <color rgb="FF666666"/>
        <rFont val="Noto Sans CJK SC"/>
        <family val="2"/>
      </rPr>
      <t xml:space="preserve">공통 항목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에 더해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탱크 타입에 따라 추가로 확인할 항목</t>
    </r>
    <r>
      <rPr>
        <i val="true"/>
        <sz val="9"/>
        <color rgb="FF666666"/>
        <rFont val="맑은 고딕"/>
        <family val="0"/>
        <charset val="1"/>
      </rPr>
      <t xml:space="preserve">. ① </t>
    </r>
    <r>
      <rPr>
        <i val="true"/>
        <sz val="9"/>
        <color rgb="FF666666"/>
        <rFont val="Noto Sans CJK SC"/>
        <family val="2"/>
      </rPr>
      <t xml:space="preserve">타입 비교표 → ② 타입별 체크리스트</t>
    </r>
  </si>
  <si>
    <t xml:space="preserve">① 타입 비교표</t>
  </si>
  <si>
    <t xml:space="preserve">탱크 타입</t>
  </si>
  <si>
    <t xml:space="preserve">압력 · 온도 범위</t>
  </si>
  <si>
    <t xml:space="preserve">대표 저장물</t>
  </si>
  <si>
    <t xml:space="preserve">주요 원가 동인</t>
  </si>
  <si>
    <t xml:space="preserve">주요 리스크</t>
  </si>
  <si>
    <t xml:space="preserve">출처</t>
  </si>
  <si>
    <t xml:space="preserve">고정지붕 - Cone Roof</t>
  </si>
  <si>
    <t xml:space="preserve">API 650</t>
  </si>
  <si>
    <t xml:space="preserve">대기압 (소내압은 Annex F)</t>
  </si>
  <si>
    <t xml:space="preserve">중유, 경유, 물, 저증기압 제품</t>
  </si>
  <si>
    <t xml:space="preserve">지붕 구조(Rafter·Column), 통기설비</t>
  </si>
  <si>
    <t xml:space="preserve">소내압 운전 시 Annex F 적용 누락</t>
  </si>
  <si>
    <t xml:space="preserve">[R32] API 650, [R37] API 2000</t>
  </si>
  <si>
    <t xml:space="preserve">고정지붕 - 자립 Dome/Umbrella Roof</t>
  </si>
  <si>
    <t xml:space="preserve">대기압 ~ 소내압</t>
  </si>
  <si>
    <t xml:space="preserve">중·소형 일반 제품</t>
  </si>
  <si>
    <t xml:space="preserve">지붕판 성형(곡면), 지붕-셸 접합부(Compression Ring)</t>
  </si>
  <si>
    <t xml:space="preserve">직경이 크면 지붕판 두께 급증</t>
  </si>
  <si>
    <t xml:space="preserve">[R32] API 650 Annex F</t>
  </si>
  <si>
    <t xml:space="preserve">알루미늄 돔 지붕</t>
  </si>
  <si>
    <t xml:space="preserve">API 650 Annex G</t>
  </si>
  <si>
    <t xml:space="preserve">대기압</t>
  </si>
  <si>
    <t xml:space="preserve">원유·제품 (신설·개조)</t>
  </si>
  <si>
    <t xml:space="preserve">전문 벤더 Lump-Sum, 셸 상부 지지링</t>
  </si>
  <si>
    <t xml:space="preserve">돔-셸 하중 전달 설계 책임 경계</t>
  </si>
  <si>
    <t xml:space="preserve">[R32] API 650 Annex G</t>
  </si>
  <si>
    <t xml:space="preserve">외부부상지붕 (EFR)</t>
  </si>
  <si>
    <t xml:space="preserve">API 650 Annex C</t>
  </si>
  <si>
    <t xml:space="preserve">대기압 (지붕이 액면에 부상)</t>
  </si>
  <si>
    <t xml:space="preserve">원유, 나프타, 고증기압 제품</t>
  </si>
  <si>
    <r>
      <rPr>
        <sz val="10"/>
        <rFont val="맑은 고딕"/>
        <family val="0"/>
        <charset val="1"/>
      </rPr>
      <t xml:space="preserve">Pontoon/Double Deck, </t>
    </r>
    <r>
      <rPr>
        <sz val="10"/>
        <rFont val="Noto Sans CJK SC"/>
        <family val="2"/>
      </rPr>
      <t xml:space="preserve">이중 </t>
    </r>
    <r>
      <rPr>
        <sz val="10"/>
        <rFont val="맑은 고딕"/>
        <family val="0"/>
        <charset val="1"/>
      </rPr>
      <t xml:space="preserve">Seal, Roof Drain, Rolling Ladder, Wind Girder</t>
    </r>
  </si>
  <si>
    <t xml:space="preserve">셸 진원도 불량 → Seal 간극 불량, 배수 막힘</t>
  </si>
  <si>
    <r>
      <rPr>
        <sz val="9"/>
        <rFont val="맑은 고딕"/>
        <family val="0"/>
        <charset val="1"/>
      </rPr>
      <t xml:space="preserve">[R32] Annex C, 5.9, 7.5 / [R08] </t>
    </r>
    <r>
      <rPr>
        <sz val="9"/>
        <rFont val="Noto Sans CJK SC"/>
        <family val="2"/>
      </rPr>
      <t xml:space="preserve">별표</t>
    </r>
    <r>
      <rPr>
        <sz val="9"/>
        <rFont val="맑은 고딕"/>
        <family val="0"/>
        <charset val="1"/>
      </rPr>
      <t xml:space="preserve">16</t>
    </r>
  </si>
  <si>
    <t xml:space="preserve">내부부상지붕 (IFR)</t>
  </si>
  <si>
    <t xml:space="preserve">API 650 Annex H</t>
  </si>
  <si>
    <t xml:space="preserve">휘발유, 제트유, 화학제품</t>
  </si>
  <si>
    <t xml:space="preserve">고정지붕 + 내부 Deck(알루미늄 등), Seal, 통기</t>
  </si>
  <si>
    <r>
      <rPr>
        <sz val="10"/>
        <rFont val="맑은 고딕"/>
        <family val="0"/>
        <charset val="1"/>
      </rPr>
      <t xml:space="preserve">Deck </t>
    </r>
    <r>
      <rPr>
        <sz val="10"/>
        <rFont val="Noto Sans CJK SC"/>
        <family val="2"/>
      </rPr>
      <t xml:space="preserve">벤더 범위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정전기 접지</t>
    </r>
  </si>
  <si>
    <r>
      <rPr>
        <sz val="9"/>
        <rFont val="맑은 고딕"/>
        <family val="0"/>
        <charset val="1"/>
      </rPr>
      <t xml:space="preserve">[R32] Annex H, [R37] API 2000, [R08] </t>
    </r>
    <r>
      <rPr>
        <sz val="9"/>
        <rFont val="Noto Sans CJK SC"/>
        <family val="2"/>
      </rPr>
      <t xml:space="preserve">별표</t>
    </r>
    <r>
      <rPr>
        <sz val="9"/>
        <rFont val="맑은 고딕"/>
        <family val="0"/>
        <charset val="1"/>
      </rPr>
      <t xml:space="preserve">16</t>
    </r>
  </si>
  <si>
    <t xml:space="preserve">고온 · 가열 탱크</t>
  </si>
  <si>
    <t xml:space="preserve">API 650 Annex M</t>
  </si>
  <si>
    <r>
      <rPr>
        <sz val="10"/>
        <rFont val="맑은 고딕"/>
        <family val="0"/>
        <charset val="1"/>
      </rPr>
      <t xml:space="preserve">93°C </t>
    </r>
    <r>
      <rPr>
        <sz val="10"/>
        <rFont val="Noto Sans CJK SC"/>
        <family val="2"/>
      </rPr>
      <t xml:space="preserve">초과 </t>
    </r>
    <r>
      <rPr>
        <sz val="10"/>
        <rFont val="맑은 고딕"/>
        <family val="0"/>
        <charset val="1"/>
      </rPr>
      <t xml:space="preserve">~ 260°C </t>
    </r>
    <r>
      <rPr>
        <sz val="10"/>
        <rFont val="Noto Sans CJK SC"/>
        <family val="2"/>
      </rPr>
      <t xml:space="preserve">미만</t>
    </r>
  </si>
  <si>
    <t xml:space="preserve">아스팔트, 중질유, 왁스</t>
  </si>
  <si>
    <r>
      <rPr>
        <sz val="10"/>
        <rFont val="맑은 고딕"/>
        <family val="0"/>
        <charset val="1"/>
      </rPr>
      <t xml:space="preserve">Heating Coil, </t>
    </r>
    <r>
      <rPr>
        <sz val="10"/>
        <rFont val="Noto Sans CJK SC"/>
        <family val="2"/>
      </rPr>
      <t xml:space="preserve">두꺼운 보온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허용응력 저하분 두께 증가</t>
    </r>
  </si>
  <si>
    <t xml:space="preserve">열팽창에 따른 셸-바닥 접합부 응력, 기초 열영향</t>
  </si>
  <si>
    <t xml:space="preserve">[R32] API 650 Annex M</t>
  </si>
  <si>
    <t xml:space="preserve">스테인리스 / Duplex 탱크</t>
  </si>
  <si>
    <t xml:space="preserve">API 650 Annex S / Annex X</t>
  </si>
  <si>
    <t xml:space="preserve">화학제품, 식품급, 탈염수</t>
  </si>
  <si>
    <t xml:space="preserve">고가 자재, 산세·부동태화, 오염 방지</t>
  </si>
  <si>
    <t xml:space="preserve">탄소강 오염(철분), 시험수 염화물 관리</t>
  </si>
  <si>
    <t xml:space="preserve">[R32] Annex S (S.4.10.1), Annex X, [R31] PCC-2</t>
  </si>
  <si>
    <t xml:space="preserve">저압 탱크</t>
  </si>
  <si>
    <t xml:space="preserve">API 620</t>
  </si>
  <si>
    <t xml:space="preserve">대기압 초과 저압</t>
  </si>
  <si>
    <t xml:space="preserve">저압 저장 제품, 가스 블랭킷 운전</t>
  </si>
  <si>
    <t xml:space="preserve">곡면 셸·지붕 형상, 앵커 증가, 기압 시험</t>
  </si>
  <si>
    <t xml:space="preserve">압력 등급 해석 차이 (API 650 Annex F와 경계)</t>
  </si>
  <si>
    <t xml:space="preserve">[R33] API 620 12th</t>
  </si>
  <si>
    <t xml:space="preserve">저온 · 냉동 탱크</t>
  </si>
  <si>
    <r>
      <rPr>
        <sz val="10"/>
        <rFont val="맑은 고딕"/>
        <family val="0"/>
        <charset val="1"/>
      </rPr>
      <t xml:space="preserve">API 620 Annex R (-51°C 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) / Annex Q (-198°C 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), API 625</t>
    </r>
  </si>
  <si>
    <t xml:space="preserve">저압 · 저온</t>
  </si>
  <si>
    <r>
      <rPr>
        <sz val="10"/>
        <rFont val="맑은 고딕"/>
        <family val="0"/>
        <charset val="1"/>
      </rPr>
      <t xml:space="preserve">LPG, </t>
    </r>
    <r>
      <rPr>
        <sz val="10"/>
        <rFont val="Noto Sans CJK SC"/>
        <family val="2"/>
      </rPr>
      <t xml:space="preserve">암모니아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에틸렌</t>
    </r>
    <r>
      <rPr>
        <sz val="10"/>
        <rFont val="맑은 고딕"/>
        <family val="0"/>
        <charset val="1"/>
      </rPr>
      <t xml:space="preserve">, LNG</t>
    </r>
  </si>
  <si>
    <t xml:space="preserve">이중각(Single/Double/Full Containment), 9%Ni·SS 내조, 보냉재, 기초 히팅, 콘크리트 외조</t>
  </si>
  <si>
    <t xml:space="preserve">공기 장기화, Cool-down 시운전, 고압가스법 적용</t>
  </si>
  <si>
    <r>
      <rPr>
        <sz val="9"/>
        <rFont val="맑은 고딕"/>
        <family val="0"/>
        <charset val="1"/>
      </rPr>
      <t xml:space="preserve">[R33] API 620 Annex R/Q, [R34] API 625, [R07] </t>
    </r>
    <r>
      <rPr>
        <sz val="9"/>
        <rFont val="Noto Sans CJK SC"/>
        <family val="2"/>
      </rPr>
      <t xml:space="preserve">고압가스법</t>
    </r>
  </si>
  <si>
    <t xml:space="preserve">구형 저장탱크 (Sphere)</t>
  </si>
  <si>
    <r>
      <rPr>
        <sz val="10"/>
        <rFont val="맑은 고딕"/>
        <family val="0"/>
        <charset val="1"/>
      </rPr>
      <t xml:space="preserve">ASME Sec. VIII / KGS (</t>
    </r>
    <r>
      <rPr>
        <sz val="10"/>
        <rFont val="Noto Sans CJK SC"/>
        <family val="2"/>
      </rPr>
      <t xml:space="preserve">명칭 미확인</t>
    </r>
    <r>
      <rPr>
        <sz val="10"/>
        <rFont val="맑은 고딕"/>
        <family val="0"/>
        <charset val="1"/>
      </rPr>
      <t xml:space="preserve">)</t>
    </r>
  </si>
  <si>
    <t xml:space="preserve">고압 (액화가스)</t>
  </si>
  <si>
    <r>
      <rPr>
        <sz val="10"/>
        <rFont val="맑은 고딕"/>
        <family val="0"/>
        <charset val="1"/>
      </rPr>
      <t xml:space="preserve">LPG, </t>
    </r>
    <r>
      <rPr>
        <sz val="10"/>
        <rFont val="Noto Sans CJK SC"/>
        <family val="2"/>
      </rPr>
      <t xml:space="preserve">프로판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부타디엔</t>
    </r>
  </si>
  <si>
    <t xml:space="preserve">고장력강 Petal 공장 성형, 현장 용접 100% RT, 현장 전체 PWHT, 지지 기둥 내화피복, 살수설비</t>
  </si>
  <si>
    <t xml:space="preserve">중간·완성검사 일정, 수압시험 시 기초 하중</t>
  </si>
  <si>
    <r>
      <rPr>
        <sz val="9"/>
        <rFont val="맑은 고딕"/>
        <family val="0"/>
        <charset val="1"/>
      </rPr>
      <t xml:space="preserve">[R41] ASME VIII (</t>
    </r>
    <r>
      <rPr>
        <sz val="9"/>
        <rFont val="Noto Sans CJK SC"/>
        <family val="2"/>
      </rPr>
      <t xml:space="preserve">판 미확인</t>
    </r>
    <r>
      <rPr>
        <sz val="9"/>
        <rFont val="맑은 고딕"/>
        <family val="0"/>
        <charset val="1"/>
      </rPr>
      <t xml:space="preserve">), [R11] KGS, [R07] </t>
    </r>
    <r>
      <rPr>
        <sz val="9"/>
        <rFont val="Noto Sans CJK SC"/>
        <family val="2"/>
      </rPr>
      <t xml:space="preserve">고압가스법 제</t>
    </r>
    <r>
      <rPr>
        <sz val="9"/>
        <rFont val="맑은 고딕"/>
        <family val="0"/>
        <charset val="1"/>
      </rPr>
      <t xml:space="preserve">16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[R23] API 2218</t>
    </r>
  </si>
  <si>
    <t xml:space="preserve">횡형 압력 저장탱크 (Bullet / Mounded)</t>
  </si>
  <si>
    <r>
      <rPr>
        <sz val="10"/>
        <rFont val="맑은 고딕"/>
        <family val="0"/>
        <charset val="1"/>
      </rPr>
      <t xml:space="preserve">LPG, </t>
    </r>
    <r>
      <rPr>
        <sz val="10"/>
        <rFont val="Noto Sans CJK SC"/>
        <family val="2"/>
      </rPr>
      <t xml:space="preserve">암모니아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소량 액화가스</t>
    </r>
  </si>
  <si>
    <t xml:space="preserve">공장 제작 → 운송 제약(직경·길이), Saddle 기초, Mounded 시 토피·전기방식</t>
  </si>
  <si>
    <t xml:space="preserve">중량물 운송 경로, Mounded 외면 부식</t>
  </si>
  <si>
    <r>
      <rPr>
        <sz val="9"/>
        <rFont val="맑은 고딕"/>
        <family val="0"/>
        <charset val="1"/>
      </rPr>
      <t xml:space="preserve">[R41] ASME VIII, [R11] KGS, [R07] </t>
    </r>
    <r>
      <rPr>
        <sz val="9"/>
        <rFont val="Noto Sans CJK SC"/>
        <family val="2"/>
      </rPr>
      <t xml:space="preserve">고압가스법</t>
    </r>
  </si>
  <si>
    <t xml:space="preserve">소형 공장제작 탱크</t>
  </si>
  <si>
    <r>
      <rPr>
        <sz val="10"/>
        <rFont val="맑은 고딕"/>
        <family val="0"/>
        <charset val="1"/>
      </rPr>
      <t xml:space="preserve">API Spec 12F </t>
    </r>
    <r>
      <rPr>
        <sz val="10"/>
        <rFont val="Noto Sans CJK SC"/>
        <family val="2"/>
      </rPr>
      <t xml:space="preserve">등</t>
    </r>
  </si>
  <si>
    <t xml:space="preserve">대기압 소용량</t>
  </si>
  <si>
    <t xml:space="preserve">생산 현장 액체, 유틸리티</t>
  </si>
  <si>
    <t xml:space="preserve">완제품 구매(P 계정), 운송 가능 크기 제한</t>
  </si>
  <si>
    <t xml:space="preserve">현장 조립 탱크 대비 단가 비교 누락</t>
  </si>
  <si>
    <r>
      <rPr>
        <sz val="9"/>
        <rFont val="맑은 고딕"/>
        <family val="0"/>
        <charset val="1"/>
      </rPr>
      <t xml:space="preserve">[R40] API Spec 12F (2024 </t>
    </r>
    <r>
      <rPr>
        <sz val="9"/>
        <rFont val="Noto Sans CJK SC"/>
        <family val="2"/>
      </rPr>
      <t xml:space="preserve">개정</t>
    </r>
    <r>
      <rPr>
        <sz val="9"/>
        <rFont val="맑은 고딕"/>
        <family val="0"/>
        <charset val="1"/>
      </rPr>
      <t xml:space="preserve">)</t>
    </r>
  </si>
  <si>
    <t xml:space="preserve">② 타입별 체크리스트</t>
  </si>
  <si>
    <t xml:space="preserve">사용법: 입찰 대상이 아닌 타입은 확인상태를 '해당없음'으로 선택하거나, 필터로 해당 타입만 보세요.</t>
  </si>
  <si>
    <t xml:space="preserve">타입</t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</si>
  <si>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고정지붕 </t>
    </r>
    <r>
      <rPr>
        <b val="true"/>
        <sz val="11"/>
        <rFont val="맑은 고딕"/>
        <family val="0"/>
        <charset val="1"/>
      </rPr>
      <t xml:space="preserve">- Cone Roof</t>
    </r>
  </si>
  <si>
    <t xml:space="preserve">Cone</t>
  </si>
  <si>
    <t xml:space="preserve">지붕 지지 방식</t>
  </si>
  <si>
    <t xml:space="preserve">지지형(Rafter + Column) vs 자립형 Cone — 기둥 수·바닥 보강판, 내부 기둥의 부식·검사 영향</t>
  </si>
  <si>
    <r>
      <rPr>
        <sz val="9"/>
        <rFont val="맑은 고딕"/>
        <family val="0"/>
        <charset val="1"/>
      </rPr>
      <t xml:space="preserve">[R32] API 650 (</t>
    </r>
    <r>
      <rPr>
        <sz val="9"/>
        <rFont val="Noto Sans CJK SC"/>
        <family val="2"/>
      </rPr>
      <t xml:space="preserve">지붕 설계 조항 번호 미확인</t>
    </r>
    <r>
      <rPr>
        <sz val="9"/>
        <rFont val="맑은 고딕"/>
        <family val="0"/>
        <charset val="1"/>
      </rPr>
      <t xml:space="preserve">)</t>
    </r>
  </si>
  <si>
    <t xml:space="preserve">소내압 운전 여부</t>
  </si>
  <si>
    <t xml:space="preserve">질소 블랭킷 등 소내압 운전 시 Annex F 적용 → 지붕-셸 접합부, 앵커 추가</t>
  </si>
  <si>
    <r>
      <rPr>
        <sz val="10"/>
        <rFont val="맑은 고딕"/>
        <family val="0"/>
        <charset val="1"/>
      </rPr>
      <t xml:space="preserve">Frangible Roof </t>
    </r>
    <r>
      <rPr>
        <sz val="10"/>
        <rFont val="Noto Sans CJK SC"/>
        <family val="2"/>
      </rPr>
      <t xml:space="preserve">요구</t>
    </r>
  </si>
  <si>
    <t xml:space="preserve">비상 시 지붕-셸 접합부 우선 파단 설계 요구 여부 → 접합부 상세·두께 제한</t>
  </si>
  <si>
    <t xml:space="preserve">통기 · 비상 배기</t>
  </si>
  <si>
    <t xml:space="preserve">정상 통기 및 화재 시 비상 배기 용량, Breather Valve·화염방지기 수량</t>
  </si>
  <si>
    <t xml:space="preserve">[R37] API Std 2000 8th</t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</si>
  <si>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고정지붕 </t>
    </r>
    <r>
      <rPr>
        <b val="true"/>
        <sz val="11"/>
        <rFont val="맑은 고딕"/>
        <family val="0"/>
        <charset val="1"/>
      </rPr>
      <t xml:space="preserve">- </t>
    </r>
    <r>
      <rPr>
        <b val="true"/>
        <sz val="11"/>
        <rFont val="Noto Sans CJK SC"/>
        <family val="2"/>
      </rPr>
      <t xml:space="preserve">자립 </t>
    </r>
    <r>
      <rPr>
        <b val="true"/>
        <sz val="11"/>
        <rFont val="맑은 고딕"/>
        <family val="0"/>
        <charset val="1"/>
      </rPr>
      <t xml:space="preserve">Dome/Umbrella Roof</t>
    </r>
  </si>
  <si>
    <t xml:space="preserve">Dome</t>
  </si>
  <si>
    <t xml:space="preserve">지붕판 성형</t>
  </si>
  <si>
    <t xml:space="preserve">곡면 지붕판 공장 성형(Press) 여부, 운송 가능 크기</t>
  </si>
  <si>
    <t xml:space="preserve">실무 관행</t>
  </si>
  <si>
    <t xml:space="preserve">직경 한계</t>
  </si>
  <si>
    <t xml:space="preserve">자립 지붕은 직경이 커질수록 지붕판 두께가 급격히 증가 → 지지형 또는 알루미늄 돔과 비교 견적</t>
  </si>
  <si>
    <r>
      <rPr>
        <sz val="9"/>
        <rFont val="맑은 고딕"/>
        <family val="0"/>
        <charset val="1"/>
      </rPr>
      <t xml:space="preserve">[R32] API 650 (</t>
    </r>
    <r>
      <rPr>
        <sz val="9"/>
        <rFont val="Noto Sans CJK SC"/>
        <family val="2"/>
      </rPr>
      <t xml:space="preserve">자립 지붕 두께식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</si>
  <si>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Compression Ring </t>
    </r>
    <r>
      <rPr>
        <sz val="10"/>
        <rFont val="Noto Sans CJK SC"/>
        <family val="2"/>
      </rPr>
      <t xml:space="preserve">상세</t>
    </r>
  </si>
  <si>
    <t xml:space="preserve">지붕-셸 접합부 압축링 단면, 용접량</t>
  </si>
  <si>
    <r>
      <rPr>
        <sz val="9"/>
        <rFont val="맑은 고딕"/>
        <family val="0"/>
        <charset val="1"/>
      </rPr>
      <t xml:space="preserve">[R32] API 650 Annex F / </t>
    </r>
    <r>
      <rPr>
        <sz val="9"/>
        <rFont val="Noto Sans CJK SC"/>
        <family val="2"/>
      </rPr>
      <t xml:space="preserve">접합부 조항 미확인</t>
    </r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</si>
  <si>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알루미늄 돔 지붕</t>
    </r>
  </si>
  <si>
    <t xml:space="preserve">Al Dome</t>
  </si>
  <si>
    <t xml:space="preserve">벤더 범위</t>
  </si>
  <si>
    <t xml:space="preserve">돔 구조·패널·씰·Skylight·설치까지 Lump-Sum 범위, 크레인·비계 제공 주체</t>
  </si>
  <si>
    <t xml:space="preserve">셸 상부 지지링</t>
  </si>
  <si>
    <t xml:space="preserve">돔 반력(수평 추력) 지지 Ring 설계 책임 — 탱크사 vs 돔 벤더</t>
  </si>
  <si>
    <t xml:space="preserve">기존 탱크 개조 시</t>
  </si>
  <si>
    <t xml:space="preserve">기존 EFR에 돔 추가 시 셸 상부 보강, 운전 중 공사 조건</t>
  </si>
  <si>
    <r>
      <rPr>
        <sz val="9"/>
        <rFont val="맑은 고딕"/>
        <family val="0"/>
        <charset val="1"/>
      </rPr>
      <t xml:space="preserve">[R36] API 653 (</t>
    </r>
    <r>
      <rPr>
        <sz val="9"/>
        <rFont val="Noto Sans CJK SC"/>
        <family val="2"/>
      </rPr>
      <t xml:space="preserve">개조</t>
    </r>
    <r>
      <rPr>
        <sz val="9"/>
        <rFont val="맑은 고딕"/>
        <family val="0"/>
        <charset val="1"/>
      </rPr>
      <t xml:space="preserve">), [R09] KOSHA P-94</t>
    </r>
  </si>
  <si>
    <t xml:space="preserve">이종금속 부식</t>
  </si>
  <si>
    <t xml:space="preserve">알루미늄-탄소강 접촉부 절연 상세</t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</si>
  <si>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외부부상지붕 </t>
    </r>
    <r>
      <rPr>
        <b val="true"/>
        <sz val="11"/>
        <rFont val="맑은 고딕"/>
        <family val="0"/>
        <charset val="1"/>
      </rPr>
      <t xml:space="preserve">(EFR)</t>
    </r>
  </si>
  <si>
    <t xml:space="preserve">EFR</t>
  </si>
  <si>
    <r>
      <rPr>
        <sz val="10"/>
        <rFont val="맑은 고딕"/>
        <family val="0"/>
        <charset val="1"/>
      </rPr>
      <t xml:space="preserve">Pontoon vs Double Deck — </t>
    </r>
    <r>
      <rPr>
        <sz val="10"/>
        <rFont val="Noto Sans CJK SC"/>
        <family val="2"/>
      </rPr>
      <t xml:space="preserve">대형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고온 지역은 </t>
    </r>
    <r>
      <rPr>
        <sz val="10"/>
        <rFont val="맑은 고딕"/>
        <family val="0"/>
        <charset val="1"/>
      </rPr>
      <t xml:space="preserve">Double Deck, </t>
    </r>
    <r>
      <rPr>
        <sz val="10"/>
        <rFont val="Noto Sans CJK SC"/>
        <family val="2"/>
      </rPr>
      <t xml:space="preserve">강재량 크게 차이</t>
    </r>
  </si>
  <si>
    <t xml:space="preserve">[R32] API 650 Annex C</t>
  </si>
  <si>
    <t xml:space="preserve">이중 Seal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</si>
  <si>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(Mechanical Shoe/Liquid Mounted) + 2</t>
    </r>
    <r>
      <rPr>
        <sz val="10"/>
        <rFont val="Noto Sans CJK SC"/>
        <family val="2"/>
      </rPr>
      <t xml:space="preserve">차 </t>
    </r>
    <r>
      <rPr>
        <sz val="10"/>
        <rFont val="맑은 고딕"/>
        <family val="0"/>
        <charset val="1"/>
      </rPr>
      <t xml:space="preserve">Seal </t>
    </r>
    <r>
      <rPr>
        <sz val="10"/>
        <rFont val="Noto Sans CJK SC"/>
        <family val="2"/>
      </rPr>
      <t xml:space="preserve">의무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벤더 견적 확보</t>
    </r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</si>
  <si>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 (</t>
    </r>
    <r>
      <rPr>
        <sz val="9"/>
        <rFont val="Noto Sans CJK SC"/>
        <family val="2"/>
      </rPr>
      <t xml:space="preserve">외부부상지붕 이중 밀폐장치</t>
    </r>
    <r>
      <rPr>
        <sz val="9"/>
        <rFont val="맑은 고딕"/>
        <family val="0"/>
        <charset val="1"/>
      </rPr>
      <t xml:space="preserve">), [R32] Annex C</t>
    </r>
  </si>
  <si>
    <t xml:space="preserve">셸 진원도 · 내면 평활도</t>
  </si>
  <si>
    <r>
      <rPr>
        <sz val="10"/>
        <rFont val="맑은 고딕"/>
        <family val="0"/>
        <charset val="1"/>
      </rPr>
      <t xml:space="preserve">Seal </t>
    </r>
    <r>
      <rPr>
        <sz val="10"/>
        <rFont val="Noto Sans CJK SC"/>
        <family val="2"/>
      </rPr>
      <t xml:space="preserve">밀착을 위한 진원도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용접 덧살 그라인딩 → 시공 </t>
    </r>
    <r>
      <rPr>
        <sz val="10"/>
        <rFont val="맑은 고딕"/>
        <family val="0"/>
        <charset val="1"/>
      </rPr>
      <t xml:space="preserve">MH </t>
    </r>
    <r>
      <rPr>
        <sz val="10"/>
        <rFont val="Noto Sans CJK SC"/>
        <family val="2"/>
      </rPr>
      <t xml:space="preserve">증가</t>
    </r>
  </si>
  <si>
    <r>
      <rPr>
        <sz val="9"/>
        <rFont val="맑은 고딕"/>
        <family val="0"/>
        <charset val="1"/>
      </rPr>
      <t xml:space="preserve">[R32] API 650 7.5 (</t>
    </r>
    <r>
      <rPr>
        <sz val="9"/>
        <rFont val="Noto Sans CJK SC"/>
        <family val="2"/>
      </rPr>
      <t xml:space="preserve">치수 허용오차</t>
    </r>
    <r>
      <rPr>
        <sz val="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</si>
  <si>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Wind Girder · </t>
    </r>
    <r>
      <rPr>
        <sz val="10"/>
        <rFont val="Noto Sans CJK SC"/>
        <family val="2"/>
      </rPr>
      <t xml:space="preserve">보강</t>
    </r>
  </si>
  <si>
    <t xml:space="preserve">상부 개방 셸의 풍하중 보강링, 보강링 위 통로 겸용 여부</t>
  </si>
  <si>
    <r>
      <rPr>
        <sz val="9"/>
        <rFont val="맑은 고딕"/>
        <family val="0"/>
        <charset val="1"/>
      </rPr>
      <t xml:space="preserve">[R32] API 650 5.9 (</t>
    </r>
    <r>
      <rPr>
        <sz val="9"/>
        <rFont val="Noto Sans CJK SC"/>
        <family val="2"/>
      </rPr>
      <t xml:space="preserve">보강링</t>
    </r>
    <r>
      <rPr>
        <sz val="9"/>
        <rFont val="맑은 고딕"/>
        <family val="0"/>
        <charset val="1"/>
      </rPr>
      <t xml:space="preserve">)</t>
    </r>
  </si>
  <si>
    <t xml:space="preserve">Roof Drain</t>
  </si>
  <si>
    <r>
      <rPr>
        <sz val="10"/>
        <rFont val="맑은 고딕"/>
        <family val="0"/>
        <charset val="1"/>
      </rPr>
      <t xml:space="preserve">Articulated Pipe vs Flexible Hose </t>
    </r>
    <r>
      <rPr>
        <sz val="10"/>
        <rFont val="Noto Sans CJK SC"/>
        <family val="2"/>
      </rPr>
      <t xml:space="preserve">배수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비상 배수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신뢰성 사양</t>
    </r>
  </si>
  <si>
    <r>
      <rPr>
        <sz val="9"/>
        <rFont val="맑은 고딕"/>
        <family val="0"/>
        <charset val="1"/>
      </rPr>
      <t xml:space="preserve">[R32] API 650 Annex C (</t>
    </r>
    <r>
      <rPr>
        <sz val="9"/>
        <rFont val="Noto Sans CJK SC"/>
        <family val="2"/>
      </rPr>
      <t xml:space="preserve">세부 조항 미확인</t>
    </r>
    <r>
      <rPr>
        <sz val="9"/>
        <rFont val="맑은 고딕"/>
        <family val="0"/>
        <charset val="1"/>
      </rPr>
      <t xml:space="preserve">)</t>
    </r>
  </si>
  <si>
    <t xml:space="preserve">Rolling Ladder · Gauge Pole</t>
  </si>
  <si>
    <t xml:space="preserve">구름 사다리, 게이지 폴, 안티로테이션 장치</t>
  </si>
  <si>
    <t xml:space="preserve">부상 시험</t>
  </si>
  <si>
    <t xml:space="preserve">충수 시 지붕 부상·착지 확인, Pontoon 누설 점검 → 시험 기간 증가</t>
  </si>
  <si>
    <r>
      <rPr>
        <sz val="9"/>
        <rFont val="맑은 고딕"/>
        <family val="0"/>
        <charset val="1"/>
      </rPr>
      <t xml:space="preserve">[R32] API 650 Annex C (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</si>
  <si>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t xml:space="preserve">지붕 접지 · 피뢰</t>
  </si>
  <si>
    <r>
      <rPr>
        <sz val="10"/>
        <rFont val="맑은 고딕"/>
        <family val="0"/>
        <charset val="1"/>
      </rPr>
      <t xml:space="preserve">Shunt, </t>
    </r>
    <r>
      <rPr>
        <sz val="10"/>
        <rFont val="Noto Sans CJK SC"/>
        <family val="2"/>
      </rPr>
      <t xml:space="preserve">접지 케이블 — 부상지붕 화재 방지</t>
    </r>
  </si>
  <si>
    <t xml:space="preserve">실무 관행 (발주처 사양 확인)</t>
  </si>
  <si>
    <r>
      <rPr>
        <b val="true"/>
        <sz val="11"/>
        <rFont val="맑은 고딕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내부부상지붕 </t>
    </r>
    <r>
      <rPr>
        <b val="true"/>
        <sz val="11"/>
        <rFont val="맑은 고딕"/>
        <family val="0"/>
        <charset val="1"/>
      </rPr>
      <t xml:space="preserve">(IFR)</t>
    </r>
  </si>
  <si>
    <t xml:space="preserve">IFR</t>
  </si>
  <si>
    <r>
      <rPr>
        <sz val="10"/>
        <rFont val="맑은 고딕"/>
        <family val="0"/>
        <charset val="1"/>
      </rPr>
      <t xml:space="preserve">Deck </t>
    </r>
    <r>
      <rPr>
        <sz val="10"/>
        <rFont val="Noto Sans CJK SC"/>
        <family val="2"/>
      </rPr>
      <t xml:space="preserve">형식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재질</t>
    </r>
  </si>
  <si>
    <t xml:space="preserve">알루미늄 Pontoon/Honeycomb vs 강재 Deck — 벤더 견적, 설치 범위</t>
  </si>
  <si>
    <t xml:space="preserve">[R32] API 650 Annex H</t>
  </si>
  <si>
    <r>
      <rPr>
        <sz val="10"/>
        <rFont val="맑은 고딕"/>
        <family val="0"/>
        <charset val="1"/>
      </rPr>
      <t xml:space="preserve">Seal </t>
    </r>
    <r>
      <rPr>
        <sz val="10"/>
        <rFont val="Noto Sans CJK SC"/>
        <family val="2"/>
      </rPr>
      <t xml:space="preserve">형식</t>
    </r>
  </si>
  <si>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기준을 만족하는 </t>
    </r>
    <r>
      <rPr>
        <sz val="10"/>
        <rFont val="맑은 고딕"/>
        <family val="0"/>
        <charset val="1"/>
      </rPr>
      <t xml:space="preserve">Seal </t>
    </r>
    <r>
      <rPr>
        <sz val="10"/>
        <rFont val="Noto Sans CJK SC"/>
        <family val="2"/>
      </rPr>
      <t xml:space="preserve">형식 선택</t>
    </r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</si>
  <si>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 (</t>
    </r>
    <r>
      <rPr>
        <sz val="9"/>
        <rFont val="Noto Sans CJK SC"/>
        <family val="2"/>
      </rPr>
      <t xml:space="preserve">내부부상지붕 </t>
    </r>
    <r>
      <rPr>
        <sz val="9"/>
        <rFont val="맑은 고딕"/>
        <family val="0"/>
        <charset val="1"/>
      </rPr>
      <t xml:space="preserve">Seal), [R32] Annex H</t>
    </r>
  </si>
  <si>
    <t xml:space="preserve">통기 설계</t>
  </si>
  <si>
    <r>
      <rPr>
        <sz val="10"/>
        <rFont val="맑은 고딕"/>
        <family val="0"/>
        <charset val="1"/>
      </rPr>
      <t xml:space="preserve">IFR </t>
    </r>
    <r>
      <rPr>
        <sz val="10"/>
        <rFont val="Noto Sans CJK SC"/>
        <family val="2"/>
      </rPr>
      <t xml:space="preserve">탱크 </t>
    </r>
    <r>
      <rPr>
        <sz val="10"/>
        <rFont val="맑은 고딕"/>
        <family val="0"/>
        <charset val="1"/>
      </rPr>
      <t xml:space="preserve">Circulation Vent </t>
    </r>
    <r>
      <rPr>
        <sz val="10"/>
        <rFont val="Noto Sans CJK SC"/>
        <family val="2"/>
      </rPr>
      <t xml:space="preserve">배치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</si>
  <si>
    <t xml:space="preserve">[R32] API 650 Annex H, [R37] API 2000</t>
  </si>
  <si>
    <t xml:space="preserve">고정지붕 기둥 관통</t>
  </si>
  <si>
    <t xml:space="preserve">지지형 지붕 기둥의 Deck 관통부 Seal·Sleeve</t>
  </si>
  <si>
    <t xml:space="preserve">정전기 접지</t>
  </si>
  <si>
    <r>
      <rPr>
        <sz val="10"/>
        <rFont val="맑은 고딕"/>
        <family val="0"/>
        <charset val="1"/>
      </rPr>
      <t xml:space="preserve">Deck-</t>
    </r>
    <r>
      <rPr>
        <sz val="10"/>
        <rFont val="Noto Sans CJK SC"/>
        <family val="2"/>
      </rPr>
      <t xml:space="preserve">셸 접지 케이블</t>
    </r>
  </si>
  <si>
    <r>
      <rPr>
        <sz val="9"/>
        <rFont val="맑은 고딕"/>
        <family val="0"/>
        <charset val="1"/>
      </rPr>
      <t xml:space="preserve">[R32] API 650 Annex H (</t>
    </r>
    <r>
      <rPr>
        <sz val="9"/>
        <rFont val="Noto Sans CJK SC"/>
        <family val="2"/>
      </rPr>
      <t xml:space="preserve">세부 조항 미확인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</si>
  <si>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고온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가열 탱크</t>
    </r>
  </si>
  <si>
    <t xml:space="preserve">고온</t>
  </si>
  <si>
    <r>
      <rPr>
        <sz val="10"/>
        <rFont val="맑은 고딕"/>
        <family val="0"/>
        <charset val="1"/>
      </rPr>
      <t xml:space="preserve">Annex M </t>
    </r>
    <r>
      <rPr>
        <sz val="10"/>
        <rFont val="Noto Sans CJK SC"/>
        <family val="2"/>
      </rPr>
      <t xml:space="preserve">적용</t>
    </r>
  </si>
  <si>
    <r>
      <rPr>
        <sz val="10"/>
        <rFont val="맑은 고딕"/>
        <family val="0"/>
        <charset val="1"/>
      </rPr>
      <t xml:space="preserve">93°C </t>
    </r>
    <r>
      <rPr>
        <sz val="10"/>
        <rFont val="Noto Sans CJK SC"/>
        <family val="2"/>
      </rPr>
      <t xml:space="preserve">초과 시 허용응력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탄성계수 저감 → 셸 두께 증가</t>
    </r>
  </si>
  <si>
    <t xml:space="preserve">[R32] API 650 Annex M (93~260°C)</t>
  </si>
  <si>
    <t xml:space="preserve">Heating Coil</t>
  </si>
  <si>
    <t xml:space="preserve">코일 형식·면적, 스팀 트랩·응축수 배관, 코일 지지대</t>
  </si>
  <si>
    <t xml:space="preserve">실무 관행 (열부하 계산)</t>
  </si>
  <si>
    <t xml:space="preserve">두꺼운 보온·외장재, 지붕 보온 포함 여부</t>
  </si>
  <si>
    <t xml:space="preserve">셸-바닥 접합부</t>
  </si>
  <si>
    <t xml:space="preserve">열팽창에 따른 접합부 응력, Annular Plate 두께 증가</t>
  </si>
  <si>
    <t xml:space="preserve">기초 열영향</t>
  </si>
  <si>
    <t xml:space="preserve">기초 콘크리트 열화 방지(단열층)</t>
  </si>
  <si>
    <r>
      <rPr>
        <b val="true"/>
        <sz val="11"/>
        <rFont val="맑은 고딕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스테인리스 </t>
    </r>
    <r>
      <rPr>
        <b val="true"/>
        <sz val="11"/>
        <rFont val="맑은 고딕"/>
        <family val="0"/>
        <charset val="1"/>
      </rPr>
      <t xml:space="preserve">/ Duplex </t>
    </r>
    <r>
      <rPr>
        <b val="true"/>
        <sz val="11"/>
        <rFont val="Noto Sans CJK SC"/>
        <family val="2"/>
      </rPr>
      <t xml:space="preserve">탱크</t>
    </r>
  </si>
  <si>
    <t xml:space="preserve">SS</t>
  </si>
  <si>
    <t xml:space="preserve">자재 단가 · 두께</t>
  </si>
  <si>
    <r>
      <rPr>
        <sz val="10"/>
        <rFont val="맑은 고딕"/>
        <family val="0"/>
        <charset val="1"/>
      </rPr>
      <t xml:space="preserve">SS/Duplex </t>
    </r>
    <r>
      <rPr>
        <sz val="10"/>
        <rFont val="Noto Sans CJK SC"/>
        <family val="2"/>
      </rPr>
      <t xml:space="preserve">강판 단가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니켈 연동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허용응력 차이로 두께 변동</t>
    </r>
  </si>
  <si>
    <t xml:space="preserve">[R32] API 650 Annex S / Annex X</t>
  </si>
  <si>
    <t xml:space="preserve">시험수 수질</t>
  </si>
  <si>
    <t xml:space="preserve">충수시험수 염화물 50 ppm 이하, 시험 후 즉시 배수·건조</t>
  </si>
  <si>
    <t xml:space="preserve">[R32] API 650 Annex S.4.10.1, [R31] ASME PCC-2</t>
  </si>
  <si>
    <t xml:space="preserve">오염 방지</t>
  </si>
  <si>
    <t xml:space="preserve">탄소강 공구·작업대 분리, 전용 작업장, 철분 오염 검사</t>
  </si>
  <si>
    <r>
      <rPr>
        <sz val="9"/>
        <rFont val="맑은 고딕"/>
        <family val="0"/>
        <charset val="1"/>
      </rPr>
      <t xml:space="preserve">[R16] API RP 571 (</t>
    </r>
    <r>
      <rPr>
        <sz val="9"/>
        <rFont val="Noto Sans CJK SC"/>
        <family val="2"/>
      </rPr>
      <t xml:space="preserve">염화물 </t>
    </r>
    <r>
      <rPr>
        <sz val="9"/>
        <rFont val="맑은 고딕"/>
        <family val="0"/>
        <charset val="1"/>
      </rPr>
      <t xml:space="preserve">SCC) / </t>
    </r>
    <r>
      <rPr>
        <sz val="9"/>
        <rFont val="Noto Sans CJK SC"/>
        <family val="2"/>
      </rPr>
      <t xml:space="preserve">실무 관행</t>
    </r>
  </si>
  <si>
    <t xml:space="preserve">산세 · 부동태화</t>
  </si>
  <si>
    <t xml:space="preserve">용접부 산세(Pickling)·부동태화, 폐산 처리</t>
  </si>
  <si>
    <r>
      <rPr>
        <sz val="9"/>
        <rFont val="맑은 고딕"/>
        <family val="0"/>
        <charset val="1"/>
      </rPr>
      <t xml:space="preserve">[R32] API 650 Annex S (S.4.9 </t>
    </r>
    <r>
      <rPr>
        <sz val="9"/>
        <rFont val="Noto Sans CJK SC"/>
        <family val="2"/>
      </rPr>
      <t xml:space="preserve">세정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조항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차 확인</t>
    </r>
    <r>
      <rPr>
        <sz val="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</si>
  <si>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PMI · </t>
    </r>
    <r>
      <rPr>
        <sz val="10"/>
        <rFont val="Noto Sans CJK SC"/>
        <family val="2"/>
      </rPr>
      <t xml:space="preserve">페라이트 측정</t>
    </r>
  </si>
  <si>
    <t xml:space="preserve">재질 확인 PMI, Duplex 페라이트 함량 측정</t>
  </si>
  <si>
    <t xml:space="preserve">발주처 사양 / [R32] Annex X</t>
  </si>
  <si>
    <r>
      <rPr>
        <b val="true"/>
        <sz val="11"/>
        <rFont val="맑은 고딕"/>
        <family val="0"/>
        <charset val="1"/>
      </rPr>
      <t xml:space="preserve">8. </t>
    </r>
    <r>
      <rPr>
        <b val="true"/>
        <sz val="11"/>
        <rFont val="Noto Sans CJK SC"/>
        <family val="2"/>
      </rPr>
      <t xml:space="preserve">저압 탱크 </t>
    </r>
    <r>
      <rPr>
        <b val="true"/>
        <sz val="11"/>
        <rFont val="맑은 고딕"/>
        <family val="0"/>
        <charset val="1"/>
      </rPr>
      <t xml:space="preserve">(API 620)</t>
    </r>
  </si>
  <si>
    <t xml:space="preserve">코드 경계</t>
  </si>
  <si>
    <t xml:space="preserve">설계압력이 API 650 Annex F 범위를 넘는지 → API 620 적용 시 설계·제작 난이도 상승</t>
  </si>
  <si>
    <t xml:space="preserve">[R33] API 620 12th, [R32] API 650 Annex F</t>
  </si>
  <si>
    <t xml:space="preserve">곡면 형상</t>
  </si>
  <si>
    <t xml:space="preserve">곡면 지붕·Knuckle 성형, 압축링 영역 설계</t>
  </si>
  <si>
    <r>
      <rPr>
        <sz val="9"/>
        <rFont val="맑은 고딕"/>
        <family val="0"/>
        <charset val="1"/>
      </rPr>
      <t xml:space="preserve">[R33] API 620 (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</si>
  <si>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t xml:space="preserve">앵커 · 기초</t>
  </si>
  <si>
    <t xml:space="preserve">내압 양력에 따른 앵커 수·기초 중량 증가</t>
  </si>
  <si>
    <t xml:space="preserve">압력 시험</t>
  </si>
  <si>
    <t xml:space="preserve">수압 + 기압 복합 시험 절차, 안전 구역 설정</t>
  </si>
  <si>
    <r>
      <rPr>
        <b val="true"/>
        <sz val="11"/>
        <rFont val="맑은 고딕"/>
        <family val="0"/>
        <charset val="1"/>
      </rPr>
      <t xml:space="preserve">9. </t>
    </r>
    <r>
      <rPr>
        <b val="true"/>
        <sz val="11"/>
        <rFont val="Noto Sans CJK SC"/>
        <family val="2"/>
      </rPr>
      <t xml:space="preserve">저온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냉동 탱크</t>
    </r>
  </si>
  <si>
    <t xml:space="preserve">저온</t>
  </si>
  <si>
    <r>
      <rPr>
        <sz val="10"/>
        <rFont val="맑은 고딕"/>
        <family val="0"/>
        <charset val="1"/>
      </rPr>
      <t xml:space="preserve">Containment </t>
    </r>
    <r>
      <rPr>
        <sz val="10"/>
        <rFont val="Noto Sans CJK SC"/>
        <family val="2"/>
      </rPr>
      <t xml:space="preserve">형식</t>
    </r>
  </si>
  <si>
    <r>
      <rPr>
        <sz val="10"/>
        <rFont val="맑은 고딕"/>
        <family val="0"/>
        <charset val="1"/>
      </rPr>
      <t xml:space="preserve">Single / Double / Full Containment </t>
    </r>
    <r>
      <rPr>
        <sz val="10"/>
        <rFont val="Noto Sans CJK SC"/>
        <family val="2"/>
      </rPr>
      <t xml:space="preserve">선택 — 외조 콘크리트 유무로 비용 차이 매우 큼</t>
    </r>
  </si>
  <si>
    <t xml:space="preserve">[R34] API 625</t>
  </si>
  <si>
    <t xml:space="preserve">내조 재질</t>
  </si>
  <si>
    <r>
      <rPr>
        <sz val="10"/>
        <rFont val="맑은 고딕"/>
        <family val="0"/>
        <charset val="1"/>
      </rPr>
      <t xml:space="preserve">-51°C 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(LPG·</t>
    </r>
    <r>
      <rPr>
        <sz val="10"/>
        <rFont val="Noto Sans CJK SC"/>
        <family val="2"/>
      </rPr>
      <t xml:space="preserve">암모니아</t>
    </r>
    <r>
      <rPr>
        <sz val="10"/>
        <rFont val="맑은 고딕"/>
        <family val="0"/>
        <charset val="1"/>
      </rPr>
      <t xml:space="preserve">): </t>
    </r>
    <r>
      <rPr>
        <sz val="10"/>
        <rFont val="Noto Sans CJK SC"/>
        <family val="2"/>
      </rPr>
      <t xml:space="preserve">저온 탄소강 </t>
    </r>
    <r>
      <rPr>
        <sz val="10"/>
        <rFont val="맑은 고딕"/>
        <family val="0"/>
        <charset val="1"/>
      </rPr>
      <t xml:space="preserve">/ -198°C 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(LNG): 9%Ni </t>
    </r>
    <r>
      <rPr>
        <sz val="10"/>
        <rFont val="Noto Sans CJK SC"/>
        <family val="2"/>
      </rPr>
      <t xml:space="preserve">강 또는 </t>
    </r>
    <r>
      <rPr>
        <sz val="10"/>
        <rFont val="맑은 고딕"/>
        <family val="0"/>
        <charset val="1"/>
      </rPr>
      <t xml:space="preserve">SS</t>
    </r>
  </si>
  <si>
    <t xml:space="preserve">[R33] API 620 Annex R / Annex Q</t>
  </si>
  <si>
    <t xml:space="preserve">보냉 시스템</t>
  </si>
  <si>
    <r>
      <rPr>
        <sz val="10"/>
        <rFont val="맑은 고딕"/>
        <family val="0"/>
        <charset val="1"/>
      </rPr>
      <t xml:space="preserve">Perlite, Resilient Blanket, </t>
    </r>
    <r>
      <rPr>
        <sz val="10"/>
        <rFont val="Noto Sans CJK SC"/>
        <family val="2"/>
      </rPr>
      <t xml:space="preserve">바닥 </t>
    </r>
    <r>
      <rPr>
        <sz val="10"/>
        <rFont val="맑은 고딕"/>
        <family val="0"/>
        <charset val="1"/>
      </rPr>
      <t xml:space="preserve">Foam Glass </t>
    </r>
    <r>
      <rPr>
        <sz val="10"/>
        <rFont val="Noto Sans CJK SC"/>
        <family val="2"/>
      </rPr>
      <t xml:space="preserve">등 보냉재 범위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벤더</t>
    </r>
  </si>
  <si>
    <t xml:space="preserve">기초 히팅</t>
  </si>
  <si>
    <t xml:space="preserve">동상(Frost Heave) 방지용 기초 히팅 또는 고상식 기초</t>
  </si>
  <si>
    <r>
      <rPr>
        <sz val="9"/>
        <rFont val="맑은 고딕"/>
        <family val="0"/>
        <charset val="1"/>
      </rPr>
      <t xml:space="preserve">[R34] API 625 (</t>
    </r>
    <r>
      <rPr>
        <sz val="9"/>
        <rFont val="Noto Sans CJK SC"/>
        <family val="2"/>
      </rPr>
      <t xml:space="preserve">세부 조항 미확인</t>
    </r>
    <r>
      <rPr>
        <sz val="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</si>
  <si>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Cool-down · </t>
    </r>
    <r>
      <rPr>
        <sz val="10"/>
        <rFont val="Noto Sans CJK SC"/>
        <family val="2"/>
      </rPr>
      <t xml:space="preserve">시운전</t>
    </r>
  </si>
  <si>
    <t xml:space="preserve">냉각 절차, BOG 처리 설비 경계, 시운전 기간</t>
  </si>
  <si>
    <t xml:space="preserve">인허가</t>
  </si>
  <si>
    <t xml:space="preserve">액화가스 저장 시 고압가스법 중간·완성검사</t>
  </si>
  <si>
    <r>
      <rPr>
        <sz val="9"/>
        <rFont val="맑은 고딕"/>
        <family val="0"/>
        <charset val="1"/>
      </rPr>
      <t xml:space="preserve">[R07] </t>
    </r>
    <r>
      <rPr>
        <sz val="9"/>
        <rFont val="Noto Sans CJK SC"/>
        <family val="2"/>
      </rPr>
      <t xml:space="preserve">고압가스법 제</t>
    </r>
    <r>
      <rPr>
        <sz val="9"/>
        <rFont val="맑은 고딕"/>
        <family val="0"/>
        <charset val="1"/>
      </rPr>
      <t xml:space="preserve">16</t>
    </r>
    <r>
      <rPr>
        <sz val="9"/>
        <rFont val="Noto Sans CJK SC"/>
        <family val="2"/>
      </rPr>
      <t xml:space="preserve">조</t>
    </r>
  </si>
  <si>
    <r>
      <rPr>
        <b val="true"/>
        <sz val="11"/>
        <rFont val="맑은 고딕"/>
        <family val="0"/>
        <charset val="1"/>
      </rPr>
      <t xml:space="preserve">10. </t>
    </r>
    <r>
      <rPr>
        <b val="true"/>
        <sz val="11"/>
        <rFont val="Noto Sans CJK SC"/>
        <family val="2"/>
      </rPr>
      <t xml:space="preserve">구형 저장탱크 </t>
    </r>
    <r>
      <rPr>
        <b val="true"/>
        <sz val="11"/>
        <rFont val="맑은 고딕"/>
        <family val="0"/>
        <charset val="1"/>
      </rPr>
      <t xml:space="preserve">(Sphere)</t>
    </r>
  </si>
  <si>
    <t xml:space="preserve">Sphere</t>
  </si>
  <si>
    <t xml:space="preserve">설계 코드</t>
  </si>
  <si>
    <r>
      <rPr>
        <sz val="10"/>
        <rFont val="맑은 고딕"/>
        <family val="0"/>
        <charset val="1"/>
      </rPr>
      <t xml:space="preserve">ASME VIII Div.1/2 </t>
    </r>
    <r>
      <rPr>
        <sz val="10"/>
        <rFont val="Noto Sans CJK SC"/>
        <family val="2"/>
      </rPr>
      <t xml:space="preserve">또는 </t>
    </r>
    <r>
      <rPr>
        <sz val="10"/>
        <rFont val="맑은 고딕"/>
        <family val="0"/>
        <charset val="1"/>
      </rPr>
      <t xml:space="preserve">KGS </t>
    </r>
    <r>
      <rPr>
        <sz val="10"/>
        <rFont val="Noto Sans CJK SC"/>
        <family val="2"/>
      </rPr>
      <t xml:space="preserve">기준 — 국내 설치 시 </t>
    </r>
    <r>
      <rPr>
        <sz val="10"/>
        <rFont val="맑은 고딕"/>
        <family val="0"/>
        <charset val="1"/>
      </rPr>
      <t xml:space="preserve">KGS </t>
    </r>
    <r>
      <rPr>
        <sz val="10"/>
        <rFont val="Noto Sans CJK SC"/>
        <family val="2"/>
      </rPr>
      <t xml:space="preserve">검사 요건</t>
    </r>
  </si>
  <si>
    <r>
      <rPr>
        <sz val="9"/>
        <rFont val="맑은 고딕"/>
        <family val="0"/>
        <charset val="1"/>
      </rPr>
      <t xml:space="preserve">[R41] ASME VIII (</t>
    </r>
    <r>
      <rPr>
        <sz val="9"/>
        <rFont val="Noto Sans CJK SC"/>
        <family val="2"/>
      </rPr>
      <t xml:space="preserve">판 미확인</t>
    </r>
    <r>
      <rPr>
        <sz val="9"/>
        <rFont val="맑은 고딕"/>
        <family val="0"/>
        <charset val="1"/>
      </rPr>
      <t xml:space="preserve">), [R11] KGS (</t>
    </r>
    <r>
      <rPr>
        <sz val="9"/>
        <rFont val="Noto Sans CJK SC"/>
        <family val="2"/>
      </rPr>
      <t xml:space="preserve">명칭 미확인</t>
    </r>
    <r>
      <rPr>
        <sz val="9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</si>
  <si>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Petal </t>
    </r>
    <r>
      <rPr>
        <sz val="10"/>
        <rFont val="Noto Sans CJK SC"/>
        <family val="2"/>
      </rPr>
      <t xml:space="preserve">성형</t>
    </r>
  </si>
  <si>
    <t xml:space="preserve">고장력강 Petal 공장 프레스 성형, 성형 후 열처리·치수 검사</t>
  </si>
  <si>
    <t xml:space="preserve">현장 용접 · NDE</t>
  </si>
  <si>
    <t xml:space="preserve">현장 맞대기 용접 100% RT/UT 요구 여부, 후판 용접 MH</t>
  </si>
  <si>
    <r>
      <rPr>
        <sz val="9"/>
        <rFont val="맑은 고딕"/>
        <family val="0"/>
        <charset val="1"/>
      </rPr>
      <t xml:space="preserve">[R41] ASME VIII (</t>
    </r>
    <r>
      <rPr>
        <sz val="9"/>
        <rFont val="Noto Sans CJK SC"/>
        <family val="2"/>
      </rPr>
      <t xml:space="preserve">조항 미확인</t>
    </r>
    <r>
      <rPr>
        <sz val="9"/>
        <rFont val="맑은 고딕"/>
        <family val="0"/>
        <charset val="1"/>
      </rPr>
      <t xml:space="preserve">)</t>
    </r>
  </si>
  <si>
    <t xml:space="preserve">현장 PWHT</t>
  </si>
  <si>
    <t xml:space="preserve">구 전체 내부 가열 PWHT(버너·보온·온도 기록) 장비·기간</t>
  </si>
  <si>
    <t xml:space="preserve">지지 기둥 · 내화피복</t>
  </si>
  <si>
    <t xml:space="preserve">기둥·브레이싱, 기둥 내화피복, 살수설비</t>
  </si>
  <si>
    <t xml:space="preserve">[R23] API RP 2218</t>
  </si>
  <si>
    <t xml:space="preserve">수압시험 기초 하중</t>
  </si>
  <si>
    <t xml:space="preserve">만수 시 기초 하중이 운전 시보다 커짐 → 기초 설계 조건</t>
  </si>
  <si>
    <t xml:space="preserve">검사 일정</t>
  </si>
  <si>
    <t xml:space="preserve">고압가스법 중간검사·완성검사 공정 연동</t>
  </si>
  <si>
    <r>
      <rPr>
        <b val="true"/>
        <sz val="11"/>
        <rFont val="맑은 고딕"/>
        <family val="0"/>
        <charset val="1"/>
      </rPr>
      <t xml:space="preserve">11. </t>
    </r>
    <r>
      <rPr>
        <b val="true"/>
        <sz val="11"/>
        <rFont val="Noto Sans CJK SC"/>
        <family val="2"/>
      </rPr>
      <t xml:space="preserve">횡형 압력 저장탱크 </t>
    </r>
    <r>
      <rPr>
        <b val="true"/>
        <sz val="11"/>
        <rFont val="맑은 고딕"/>
        <family val="0"/>
        <charset val="1"/>
      </rPr>
      <t xml:space="preserve">(Bullet / Mounded)</t>
    </r>
  </si>
  <si>
    <t xml:space="preserve">Bullet</t>
  </si>
  <si>
    <t xml:space="preserve">운송 가능 크기</t>
  </si>
  <si>
    <t xml:space="preserve">공장 일체 제작 시 직경·길이·중량 운송 한계, 분할 제작 여부</t>
  </si>
  <si>
    <r>
      <rPr>
        <sz val="10"/>
        <rFont val="맑은 고딕"/>
        <family val="0"/>
        <charset val="1"/>
      </rPr>
      <t xml:space="preserve">Saddle </t>
    </r>
    <r>
      <rPr>
        <sz val="10"/>
        <rFont val="Noto Sans CJK SC"/>
        <family val="2"/>
      </rPr>
      <t xml:space="preserve">기초</t>
    </r>
  </si>
  <si>
    <t xml:space="preserve">고정·활동 Saddle, 열팽창 대응</t>
  </si>
  <si>
    <r>
      <rPr>
        <sz val="10"/>
        <rFont val="맑은 고딕"/>
        <family val="0"/>
        <charset val="1"/>
      </rPr>
      <t xml:space="preserve">Mounded </t>
    </r>
    <r>
      <rPr>
        <sz val="10"/>
        <rFont val="Noto Sans CJK SC"/>
        <family val="2"/>
      </rPr>
      <t xml:space="preserve">형식</t>
    </r>
  </si>
  <si>
    <t xml:space="preserve">토피 시공, 외면 코팅·전기방식, 침하 모니터링</t>
  </si>
  <si>
    <r>
      <rPr>
        <sz val="9"/>
        <rFont val="맑은 고딕"/>
        <family val="0"/>
        <charset val="1"/>
      </rPr>
      <t xml:space="preserve">[R35] API RP 651 (</t>
    </r>
    <r>
      <rPr>
        <sz val="9"/>
        <rFont val="Noto Sans CJK SC"/>
        <family val="2"/>
      </rPr>
      <t xml:space="preserve">전기방식 참고</t>
    </r>
    <r>
      <rPr>
        <sz val="9"/>
        <rFont val="맑은 고딕"/>
        <family val="0"/>
        <charset val="1"/>
      </rPr>
      <t xml:space="preserve">)</t>
    </r>
  </si>
  <si>
    <t xml:space="preserve">고압가스법 검사 일정</t>
  </si>
  <si>
    <r>
      <rPr>
        <b val="true"/>
        <sz val="11"/>
        <rFont val="맑은 고딕"/>
        <family val="0"/>
        <charset val="1"/>
      </rPr>
      <t xml:space="preserve">12. </t>
    </r>
    <r>
      <rPr>
        <b val="true"/>
        <sz val="11"/>
        <rFont val="Noto Sans CJK SC"/>
        <family val="2"/>
      </rPr>
      <t xml:space="preserve">소형 공장제작 탱크</t>
    </r>
  </si>
  <si>
    <t xml:space="preserve">Shop</t>
  </si>
  <si>
    <t xml:space="preserve">공장제작 vs 현장조립 비교</t>
  </si>
  <si>
    <t xml:space="preserve">운송 가능 크기 이내면 공장제작 완제품이 유리 — 단가 비교 견적</t>
  </si>
  <si>
    <t xml:space="preserve">[R40] API Spec 12F</t>
  </si>
  <si>
    <t xml:space="preserve">완제품 구매(P) 시 현장 설치·기초·배관 연결 범위 누락 주의</t>
  </si>
  <si>
    <t xml:space="preserve">위험물 해당 여부</t>
  </si>
  <si>
    <t xml:space="preserve">위험물 저장 시 용량별 검사·허가 대상 확인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</si>
  <si>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제</t>
    </r>
    <r>
      <rPr>
        <sz val="9"/>
        <rFont val="맑은 고딕"/>
        <family val="0"/>
        <charset val="1"/>
      </rPr>
      <t xml:space="preserve">8·9</t>
    </r>
    <r>
      <rPr>
        <sz val="9"/>
        <rFont val="Noto Sans CJK SC"/>
        <family val="2"/>
      </rPr>
      <t xml:space="preserve">조</t>
    </r>
  </si>
  <si>
    <t xml:space="preserve">입찰가 총괄표 (Price Summary)</t>
  </si>
  <si>
    <t xml:space="preserve">각 상세 시트 및 '가정' 시트 요율과 자동 연동</t>
  </si>
  <si>
    <t xml:space="preserve">금액 (KRW)</t>
  </si>
  <si>
    <r>
      <rPr>
        <b val="true"/>
        <sz val="10"/>
        <color rgb="FFFFFFFF"/>
        <rFont val="맑은 고딕"/>
        <family val="0"/>
        <charset val="1"/>
      </rPr>
      <t xml:space="preserve">USD </t>
    </r>
    <r>
      <rPr>
        <b val="true"/>
        <sz val="10"/>
        <color rgb="FFFFFFFF"/>
        <rFont val="Noto Sans CJK SC"/>
        <family val="2"/>
      </rPr>
      <t xml:space="preserve">환산</t>
    </r>
  </si>
  <si>
    <t xml:space="preserve">구성비</t>
  </si>
  <si>
    <t xml:space="preserve">산출 근거</t>
  </si>
  <si>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설계 </t>
    </r>
    <r>
      <rPr>
        <sz val="10"/>
        <rFont val="맑은 고딕"/>
        <family val="0"/>
        <charset val="1"/>
      </rPr>
      <t xml:space="preserve">(Engineering)</t>
    </r>
  </si>
  <si>
    <r>
      <rPr>
        <sz val="10"/>
        <rFont val="맑은 고딕"/>
        <family val="0"/>
        <charset val="1"/>
      </rPr>
      <t xml:space="preserve">E_</t>
    </r>
    <r>
      <rPr>
        <sz val="10"/>
        <rFont val="Noto Sans CJK SC"/>
        <family val="2"/>
      </rPr>
      <t xml:space="preserve">설계 시트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</si>
  <si>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기자재 </t>
    </r>
    <r>
      <rPr>
        <sz val="10"/>
        <rFont val="맑은 고딕"/>
        <family val="0"/>
        <charset val="1"/>
      </rPr>
      <t xml:space="preserve">(Procurement)</t>
    </r>
  </si>
  <si>
    <r>
      <rPr>
        <sz val="10"/>
        <rFont val="맑은 고딕"/>
        <family val="0"/>
        <charset val="1"/>
      </rPr>
      <t xml:space="preserve">P_</t>
    </r>
    <r>
      <rPr>
        <sz val="10"/>
        <rFont val="Noto Sans CJK SC"/>
        <family val="2"/>
      </rPr>
      <t xml:space="preserve">기자재 시트 </t>
    </r>
    <r>
      <rPr>
        <sz val="10"/>
        <rFont val="맑은 고딕"/>
        <family val="0"/>
        <charset val="1"/>
      </rPr>
      <t xml:space="preserve">(CIF/</t>
    </r>
    <r>
      <rPr>
        <sz val="10"/>
        <rFont val="Noto Sans CJK SC"/>
        <family val="2"/>
      </rPr>
      <t xml:space="preserve">관세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</si>
  <si>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시공 </t>
    </r>
    <r>
      <rPr>
        <sz val="10"/>
        <rFont val="맑은 고딕"/>
        <family val="0"/>
        <charset val="1"/>
      </rPr>
      <t xml:space="preserve">(Construction)</t>
    </r>
  </si>
  <si>
    <r>
      <rPr>
        <sz val="10"/>
        <rFont val="맑은 고딕"/>
        <family val="0"/>
        <charset val="1"/>
      </rPr>
      <t xml:space="preserve">C_</t>
    </r>
    <r>
      <rPr>
        <sz val="10"/>
        <rFont val="Noto Sans CJK SC"/>
        <family val="2"/>
      </rPr>
      <t xml:space="preserve">시공 시트</t>
    </r>
  </si>
  <si>
    <t xml:space="preserve">직접비 소계 (1+2+3)</t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</si>
  <si>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현장 간접비</t>
    </r>
  </si>
  <si>
    <t xml:space="preserve">간접비 시트</t>
  </si>
  <si>
    <t xml:space="preserve">직접비 + 간접비</t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</si>
  <si>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본사관리비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</si>
  <si>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직접비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간접비</t>
    </r>
    <r>
      <rPr>
        <sz val="10"/>
        <rFont val="맑은 고딕"/>
        <family val="0"/>
        <charset val="1"/>
      </rPr>
      <t xml:space="preserve">) × </t>
    </r>
    <r>
      <rPr>
        <sz val="10"/>
        <rFont val="Noto Sans CJK SC"/>
        <family val="2"/>
      </rPr>
      <t xml:space="preserve">요율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</si>
  <si>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물가상승 </t>
    </r>
    <r>
      <rPr>
        <sz val="10"/>
        <rFont val="맑은 고딕"/>
        <family val="0"/>
        <charset val="1"/>
      </rPr>
      <t xml:space="preserve">(Escalation)</t>
    </r>
  </si>
  <si>
    <r>
      <rPr>
        <sz val="10"/>
        <rFont val="맑은 고딕"/>
        <family val="0"/>
        <charset val="1"/>
      </rPr>
      <t xml:space="preserve">7. </t>
    </r>
    <r>
      <rPr>
        <sz val="10"/>
        <rFont val="Noto Sans CJK SC"/>
        <family val="2"/>
      </rPr>
      <t xml:space="preserve">예비비 </t>
    </r>
    <r>
      <rPr>
        <sz val="10"/>
        <rFont val="맑은 고딕"/>
        <family val="0"/>
        <charset val="1"/>
      </rPr>
      <t xml:space="preserve">(Contingency)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</si>
  <si>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위 합계</t>
    </r>
    <r>
      <rPr>
        <sz val="10"/>
        <rFont val="맑은 고딕"/>
        <family val="0"/>
        <charset val="1"/>
      </rPr>
      <t xml:space="preserve">) × </t>
    </r>
    <r>
      <rPr>
        <sz val="10"/>
        <rFont val="Noto Sans CJK SC"/>
        <family val="2"/>
      </rPr>
      <t xml:space="preserve">요율</t>
    </r>
  </si>
  <si>
    <t xml:space="preserve">총 원가 (Total Cost)</t>
  </si>
  <si>
    <r>
      <rPr>
        <sz val="10"/>
        <rFont val="맑은 고딕"/>
        <family val="0"/>
        <charset val="1"/>
      </rPr>
      <t xml:space="preserve">8. </t>
    </r>
    <r>
      <rPr>
        <sz val="10"/>
        <rFont val="Noto Sans CJK SC"/>
        <family val="2"/>
      </rPr>
      <t xml:space="preserve">이윤 </t>
    </r>
    <r>
      <rPr>
        <sz val="10"/>
        <rFont val="맑은 고딕"/>
        <family val="0"/>
        <charset val="1"/>
      </rPr>
      <t xml:space="preserve">(Profit)</t>
    </r>
  </si>
  <si>
    <t xml:space="preserve">총 원가 × 요율</t>
  </si>
  <si>
    <t xml:space="preserve">입찰금액 (VAT 별도)</t>
  </si>
  <si>
    <t xml:space="preserve">제출 금액</t>
  </si>
  <si>
    <t xml:space="preserve">부가가치세</t>
  </si>
  <si>
    <t xml:space="preserve">※ 구성비는 입찰금액(VAT 별도) 대비 비율</t>
  </si>
  <si>
    <t xml:space="preserve">견적 기준 및 요율 (Assumptions)</t>
  </si>
  <si>
    <t xml:space="preserve">노란 칸의 값만 바꾸면 전체 견적이 자동 재계산됩니다.</t>
  </si>
  <si>
    <t xml:space="preserve">근거 / 비고</t>
  </si>
  <si>
    <t xml:space="preserve">환율 USD/KRW</t>
  </si>
  <si>
    <t xml:space="preserve">샘플값 (출처 없음, D) — 견적 기준일 고시 환율로 교체</t>
  </si>
  <si>
    <t xml:space="preserve">환율 EUR/KRW</t>
  </si>
  <si>
    <t xml:space="preserve">해상운송·보험 (외자 FOB 대비)</t>
  </si>
  <si>
    <t xml:space="preserve">실무 예시값 (D) — 운송사 견적으로 교체</t>
  </si>
  <si>
    <t xml:space="preserve">관세·통관·내륙운송 (외자 FOB 대비)</t>
  </si>
  <si>
    <t xml:space="preserve">실무 예시값 (D) — 품목별 관세율(HS Code) 확인</t>
  </si>
  <si>
    <t xml:space="preserve">국내 기자재 운반비 (FOB 대비)</t>
  </si>
  <si>
    <t xml:space="preserve">실무 예시값 (D)</t>
  </si>
  <si>
    <t xml:space="preserve">산업안전보건관리비 (시공 직접비 대비)</t>
  </si>
  <si>
    <r>
      <rPr>
        <sz val="9"/>
        <rFont val="맑은 고딕"/>
        <family val="0"/>
        <charset val="1"/>
      </rPr>
      <t xml:space="preserve">[R05] </t>
    </r>
    <r>
      <rPr>
        <sz val="9"/>
        <rFont val="Noto Sans CJK SC"/>
        <family val="2"/>
      </rPr>
      <t xml:space="preserve">고용노동부고시 제</t>
    </r>
    <r>
      <rPr>
        <sz val="9"/>
        <rFont val="맑은 고딕"/>
        <family val="0"/>
        <charset val="1"/>
      </rPr>
      <t xml:space="preserve">2025-11</t>
    </r>
    <r>
      <rPr>
        <sz val="9"/>
        <rFont val="Noto Sans CJK SC"/>
        <family val="2"/>
      </rPr>
      <t xml:space="preserve">호 별표</t>
    </r>
    <r>
      <rPr>
        <sz val="9"/>
        <rFont val="맑은 고딕"/>
        <family val="0"/>
        <charset val="1"/>
      </rPr>
      <t xml:space="preserve">1, 50</t>
    </r>
    <r>
      <rPr>
        <sz val="9"/>
        <rFont val="Noto Sans CJK SC"/>
        <family val="2"/>
      </rPr>
      <t xml:space="preserve">억 이상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건축 </t>
    </r>
    <r>
      <rPr>
        <sz val="9"/>
        <rFont val="맑은 고딕"/>
        <family val="0"/>
        <charset val="1"/>
      </rPr>
      <t xml:space="preserve">2.37%·</t>
    </r>
    <r>
      <rPr>
        <sz val="9"/>
        <rFont val="Noto Sans CJK SC"/>
        <family val="2"/>
      </rPr>
      <t xml:space="preserve">토목 </t>
    </r>
    <r>
      <rPr>
        <sz val="9"/>
        <rFont val="맑은 고딕"/>
        <family val="0"/>
        <charset val="1"/>
      </rPr>
      <t xml:space="preserve">2.60%·</t>
    </r>
    <r>
      <rPr>
        <sz val="9"/>
        <rFont val="Noto Sans CJK SC"/>
        <family val="2"/>
      </rPr>
      <t xml:space="preserve">중건설 </t>
    </r>
    <r>
      <rPr>
        <sz val="9"/>
        <rFont val="맑은 고딕"/>
        <family val="0"/>
        <charset val="1"/>
      </rPr>
      <t xml:space="preserve">3.11%·</t>
    </r>
    <r>
      <rPr>
        <sz val="9"/>
        <rFont val="Noto Sans CJK SC"/>
        <family val="2"/>
      </rPr>
      <t xml:space="preserve">특수 </t>
    </r>
    <r>
      <rPr>
        <sz val="9"/>
        <rFont val="맑은 고딕"/>
        <family val="0"/>
        <charset val="1"/>
      </rPr>
      <t xml:space="preserve">1.64%. </t>
    </r>
    <r>
      <rPr>
        <sz val="9"/>
        <rFont val="Noto Sans CJK SC"/>
        <family val="2"/>
      </rPr>
      <t xml:space="preserve">샘플은 건축공사 적용 — 공사종류 판정 필요 </t>
    </r>
    <r>
      <rPr>
        <sz val="9"/>
        <rFont val="맑은 고딕"/>
        <family val="0"/>
        <charset val="1"/>
      </rPr>
      <t xml:space="preserve">(B)</t>
    </r>
  </si>
  <si>
    <t xml:space="preserve">건설공사보험 CAR/EAR (직접비 대비)</t>
  </si>
  <si>
    <t xml:space="preserve">보험사 견적 기준 (D)</t>
  </si>
  <si>
    <t xml:space="preserve">보증수수료 (이행·선급·하자, 직접비 대비)</t>
  </si>
  <si>
    <t xml:space="preserve">보증기관 요율 기준 (D). 보증 비율 참고: [R06] 국가계약법 시행령 제50조(계약보증금 10%)</t>
  </si>
  <si>
    <t xml:space="preserve">본사관리비 (Home Office Overhead)</t>
  </si>
  <si>
    <t xml:space="preserve">회사 기준 (D)</t>
  </si>
  <si>
    <t xml:space="preserve">물가상승 (Escalation)</t>
  </si>
  <si>
    <t xml:space="preserve">회사 기준 (D). 계약상 물가조정 조항 유무 확인: [R38] FIDIC Cl.13.7</t>
  </si>
  <si>
    <t xml:space="preserve">예비비 (Contingency)</t>
  </si>
  <si>
    <t xml:space="preserve">회사 리스크 평가 (D). 견적 정확도 범위 참고: [R29] AACE 18R-97 Class 3 -10~-20% / +10~+30%</t>
  </si>
  <si>
    <t xml:space="preserve">이윤 (Profit/Margin)</t>
  </si>
  <si>
    <t xml:space="preserve">경영 판단 (D)</t>
  </si>
  <si>
    <t xml:space="preserve">부가가치세 (VAT)</t>
  </si>
  <si>
    <t xml:space="preserve">부가가치세 세율 10% (부가가치세법)</t>
  </si>
  <si>
    <r>
      <rPr>
        <b val="true"/>
        <sz val="16"/>
        <rFont val="맑은 고딕"/>
        <family val="0"/>
        <charset val="1"/>
      </rPr>
      <t xml:space="preserve">E. </t>
    </r>
    <r>
      <rPr>
        <b val="true"/>
        <sz val="16"/>
        <rFont val="Noto Sans CJK SC"/>
        <family val="2"/>
      </rPr>
      <t xml:space="preserve">설계 </t>
    </r>
    <r>
      <rPr>
        <b val="true"/>
        <sz val="16"/>
        <rFont val="맑은 고딕"/>
        <family val="0"/>
        <charset val="1"/>
      </rPr>
      <t xml:space="preserve">(Engineering) </t>
    </r>
    <r>
      <rPr>
        <b val="true"/>
        <sz val="16"/>
        <rFont val="Noto Sans CJK SC"/>
        <family val="2"/>
      </rPr>
      <t xml:space="preserve">견적</t>
    </r>
  </si>
  <si>
    <t xml:space="preserve">공종별 투입 Man-hour × 시간당 단가 방식</t>
  </si>
  <si>
    <t xml:space="preserve">출처: 이 시트의 수량·단가는 모두 양식 이해용 가상 샘플값입니다(공개 출처 없음, 근거 수준 D). 요율 항목은 '가정' 시트의 근거를 따릅니다.</t>
  </si>
  <si>
    <t xml:space="preserve">공종 (Discipline)</t>
  </si>
  <si>
    <t xml:space="preserve">범위</t>
  </si>
  <si>
    <t xml:space="preserve">Man-hour</t>
  </si>
  <si>
    <t xml:space="preserve">단가 (KRW/MH)</t>
  </si>
  <si>
    <t xml:space="preserve">공정 (Process)</t>
  </si>
  <si>
    <t xml:space="preserve">Basic + Detail</t>
  </si>
  <si>
    <r>
      <rPr>
        <sz val="10"/>
        <rFont val="맑은 고딕"/>
        <family val="0"/>
        <charset val="1"/>
      </rPr>
      <t xml:space="preserve">PFD, P&amp;ID, H&amp;MB, </t>
    </r>
    <r>
      <rPr>
        <sz val="10"/>
        <rFont val="Noto Sans CJK SC"/>
        <family val="2"/>
      </rPr>
      <t xml:space="preserve">공정 데이터시트</t>
    </r>
  </si>
  <si>
    <t xml:space="preserve">배관 (Piping)</t>
  </si>
  <si>
    <t xml:space="preserve">Detail</t>
  </si>
  <si>
    <r>
      <rPr>
        <sz val="10"/>
        <rFont val="맑은 고딕"/>
        <family val="0"/>
        <charset val="1"/>
      </rPr>
      <t xml:space="preserve">3D </t>
    </r>
    <r>
      <rPr>
        <sz val="10"/>
        <rFont val="Noto Sans CJK SC"/>
        <family val="2"/>
      </rPr>
      <t xml:space="preserve">모델링</t>
    </r>
    <r>
      <rPr>
        <sz val="10"/>
        <rFont val="맑은 고딕"/>
        <family val="0"/>
        <charset val="1"/>
      </rPr>
      <t xml:space="preserve">, Isometric, </t>
    </r>
    <r>
      <rPr>
        <sz val="10"/>
        <rFont val="Noto Sans CJK SC"/>
        <family val="2"/>
      </rPr>
      <t xml:space="preserve">응력해석</t>
    </r>
  </si>
  <si>
    <t xml:space="preserve">기계 (Mechanical)</t>
  </si>
  <si>
    <t xml:space="preserve">기기 데이터시트, 벤더 도면 검토</t>
  </si>
  <si>
    <t xml:space="preserve">토목·건축 (Civil/Arch)</t>
  </si>
  <si>
    <t xml:space="preserve">기초, 구조물, 건축물</t>
  </si>
  <si>
    <t xml:space="preserve">구조 (Structural)</t>
  </si>
  <si>
    <t xml:space="preserve">파이프랙, 철골구조</t>
  </si>
  <si>
    <t xml:space="preserve">전기 (Electrical)</t>
  </si>
  <si>
    <t xml:space="preserve">단선결선도, 케이블 스케줄</t>
  </si>
  <si>
    <t xml:space="preserve">계장 (Instrument &amp; Control)</t>
  </si>
  <si>
    <r>
      <rPr>
        <sz val="10"/>
        <rFont val="맑은 고딕"/>
        <family val="0"/>
        <charset val="1"/>
      </rPr>
      <t xml:space="preserve">Loop </t>
    </r>
    <r>
      <rPr>
        <sz val="10"/>
        <rFont val="Noto Sans CJK SC"/>
        <family val="2"/>
      </rPr>
      <t xml:space="preserve">도면</t>
    </r>
    <r>
      <rPr>
        <sz val="10"/>
        <rFont val="맑은 고딕"/>
        <family val="0"/>
        <charset val="1"/>
      </rPr>
      <t xml:space="preserve">, I/O List, DCS </t>
    </r>
    <r>
      <rPr>
        <sz val="10"/>
        <rFont val="Noto Sans CJK SC"/>
        <family val="2"/>
      </rPr>
      <t xml:space="preserve">사양</t>
    </r>
  </si>
  <si>
    <r>
      <rPr>
        <sz val="10"/>
        <rFont val="맑은 고딕"/>
        <family val="0"/>
        <charset val="1"/>
      </rPr>
      <t xml:space="preserve">PM / </t>
    </r>
    <r>
      <rPr>
        <sz val="10"/>
        <rFont val="Noto Sans CJK SC"/>
        <family val="2"/>
      </rPr>
      <t xml:space="preserve">문서관리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공정관리</t>
    </r>
  </si>
  <si>
    <t xml:space="preserve">전 기간</t>
  </si>
  <si>
    <r>
      <rPr>
        <sz val="10"/>
        <rFont val="맑은 고딕"/>
        <family val="0"/>
        <charset val="1"/>
      </rPr>
      <t xml:space="preserve">PM, </t>
    </r>
    <r>
      <rPr>
        <sz val="10"/>
        <rFont val="Noto Sans CJK SC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원가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문서 관리</t>
    </r>
  </si>
  <si>
    <r>
      <rPr>
        <sz val="10"/>
        <rFont val="맑은 고딕"/>
        <family val="0"/>
        <charset val="1"/>
      </rPr>
      <t xml:space="preserve">HAZOP / SIL / </t>
    </r>
    <r>
      <rPr>
        <sz val="10"/>
        <rFont val="Noto Sans CJK SC"/>
        <family val="2"/>
      </rPr>
      <t xml:space="preserve">인허가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외부용역</t>
    </r>
    <r>
      <rPr>
        <sz val="10"/>
        <rFont val="맑은 고딕"/>
        <family val="0"/>
        <charset val="1"/>
      </rPr>
      <t xml:space="preserve">)</t>
    </r>
  </si>
  <si>
    <t xml:space="preserve">Lump Sum</t>
  </si>
  <si>
    <t xml:space="preserve">수량 1 = Lump Sum</t>
  </si>
  <si>
    <t xml:space="preserve">설계 합계</t>
  </si>
  <si>
    <r>
      <rPr>
        <b val="true"/>
        <sz val="10"/>
        <rFont val="맑은 고딕"/>
        <family val="0"/>
        <charset val="1"/>
      </rPr>
      <t xml:space="preserve">MH </t>
    </r>
    <r>
      <rPr>
        <b val="true"/>
        <sz val="10"/>
        <rFont val="Noto Sans CJK SC"/>
        <family val="2"/>
      </rPr>
      <t xml:space="preserve">합계는 </t>
    </r>
    <r>
      <rPr>
        <b val="true"/>
        <sz val="10"/>
        <rFont val="맑은 고딕"/>
        <family val="0"/>
        <charset val="1"/>
      </rPr>
      <t xml:space="preserve">Lump Sum </t>
    </r>
    <r>
      <rPr>
        <b val="true"/>
        <sz val="10"/>
        <rFont val="Noto Sans CJK SC"/>
        <family val="2"/>
      </rPr>
      <t xml:space="preserve">항목 제외</t>
    </r>
  </si>
  <si>
    <r>
      <rPr>
        <b val="true"/>
        <sz val="16"/>
        <rFont val="맑은 고딕"/>
        <family val="0"/>
        <charset val="1"/>
      </rPr>
      <t xml:space="preserve">P. </t>
    </r>
    <r>
      <rPr>
        <b val="true"/>
        <sz val="16"/>
        <rFont val="Noto Sans CJK SC"/>
        <family val="2"/>
      </rPr>
      <t xml:space="preserve">기자재 구매 </t>
    </r>
    <r>
      <rPr>
        <b val="true"/>
        <sz val="16"/>
        <rFont val="맑은 고딕"/>
        <family val="0"/>
        <charset val="1"/>
      </rPr>
      <t xml:space="preserve">(Procurement) </t>
    </r>
    <r>
      <rPr>
        <b val="true"/>
        <sz val="16"/>
        <rFont val="Noto Sans CJK SC"/>
        <family val="2"/>
      </rPr>
      <t xml:space="preserve">견적</t>
    </r>
  </si>
  <si>
    <t xml:space="preserve">외자는 FOB 단가 입력 → 환율·운송·관세 자동 반영 / 통화: USD, EUR, KRW</t>
  </si>
  <si>
    <t xml:space="preserve">Tag No.</t>
  </si>
  <si>
    <t xml:space="preserve">품명</t>
  </si>
  <si>
    <t xml:space="preserve">주요 사양</t>
  </si>
  <si>
    <t xml:space="preserve">수량</t>
  </si>
  <si>
    <t xml:space="preserve">통화</t>
  </si>
  <si>
    <t xml:space="preserve">외화/원화 단가</t>
  </si>
  <si>
    <t xml:space="preserve">적용 환율</t>
  </si>
  <si>
    <t xml:space="preserve">원화 단가</t>
  </si>
  <si>
    <r>
      <rPr>
        <b val="true"/>
        <sz val="10"/>
        <color rgb="FFFFFFFF"/>
        <rFont val="맑은 고딕"/>
        <family val="0"/>
        <charset val="1"/>
      </rPr>
      <t xml:space="preserve">FOB </t>
    </r>
    <r>
      <rPr>
        <b val="true"/>
        <sz val="10"/>
        <color rgb="FFFFFFFF"/>
        <rFont val="Noto Sans CJK SC"/>
        <family val="2"/>
      </rPr>
      <t xml:space="preserve">금액 </t>
    </r>
    <r>
      <rPr>
        <b val="true"/>
        <sz val="10"/>
        <color rgb="FFFFFFFF"/>
        <rFont val="맑은 고딕"/>
        <family val="0"/>
        <charset val="1"/>
      </rPr>
      <t xml:space="preserve">(KRW)</t>
    </r>
  </si>
  <si>
    <t xml:space="preserve">운송·보험 (KRW)</t>
  </si>
  <si>
    <t xml:space="preserve">관세·통관 (KRW)</t>
  </si>
  <si>
    <t xml:space="preserve">합계 (KRW)</t>
  </si>
  <si>
    <t xml:space="preserve">공급처(예정)</t>
  </si>
  <si>
    <t xml:space="preserve">R-101</t>
  </si>
  <si>
    <t xml:space="preserve">반응기 (Reactor)</t>
  </si>
  <si>
    <t xml:space="preserve">SS316L, 3.2m ID × 18m, 25barg</t>
  </si>
  <si>
    <t xml:space="preserve">EA</t>
  </si>
  <si>
    <t xml:space="preserve">USD</t>
  </si>
  <si>
    <t xml:space="preserve">해외 A사</t>
  </si>
  <si>
    <t xml:space="preserve">T-201</t>
  </si>
  <si>
    <t xml:space="preserve">증류탑 (Column)</t>
  </si>
  <si>
    <t xml:space="preserve">CS+SS clad, 2.8m ID × 42m</t>
  </si>
  <si>
    <t xml:space="preserve">KRW</t>
  </si>
  <si>
    <t xml:space="preserve">국내 B사</t>
  </si>
  <si>
    <t xml:space="preserve">E-301~308</t>
  </si>
  <si>
    <t xml:space="preserve">열교환기 (S&amp;T)</t>
  </si>
  <si>
    <t xml:space="preserve">TEMA AES, CS/SS</t>
  </si>
  <si>
    <t xml:space="preserve">국내 C사</t>
  </si>
  <si>
    <t xml:space="preserve">P-401A/B~</t>
  </si>
  <si>
    <t xml:space="preserve">원심펌프</t>
  </si>
  <si>
    <r>
      <rPr>
        <sz val="10"/>
        <rFont val="맑은 고딕"/>
        <family val="0"/>
        <charset val="1"/>
      </rPr>
      <t xml:space="preserve">API 610, </t>
    </r>
    <r>
      <rPr>
        <sz val="10"/>
        <rFont val="Noto Sans CJK SC"/>
        <family val="2"/>
      </rPr>
      <t xml:space="preserve">전동기 포함</t>
    </r>
  </si>
  <si>
    <t xml:space="preserve">EUR</t>
  </si>
  <si>
    <t xml:space="preserve">해외 D사</t>
  </si>
  <si>
    <t xml:space="preserve">K-501</t>
  </si>
  <si>
    <t xml:space="preserve">압축기 패키지</t>
  </si>
  <si>
    <t xml:space="preserve">원심식, 2.5MW, 윤활유 시스템 포함</t>
  </si>
  <si>
    <t xml:space="preserve">SET</t>
  </si>
  <si>
    <t xml:space="preserve">해외 E사</t>
  </si>
  <si>
    <t xml:space="preserve">TK-601~604</t>
  </si>
  <si>
    <t xml:space="preserve">저장탱크</t>
  </si>
  <si>
    <t xml:space="preserve">API 650, 5,000m3</t>
  </si>
  <si>
    <t xml:space="preserve">국내 F사</t>
  </si>
  <si>
    <t xml:space="preserve">-</t>
  </si>
  <si>
    <t xml:space="preserve">배관 벌크자재</t>
  </si>
  <si>
    <t xml:space="preserve">파이프·피팅·플랜지 (MTO 기준)</t>
  </si>
  <si>
    <t xml:space="preserve">TON</t>
  </si>
  <si>
    <t xml:space="preserve">국내 유통사</t>
  </si>
  <si>
    <t xml:space="preserve">밸브류</t>
  </si>
  <si>
    <t xml:space="preserve">Gate/Globe/Check/Ball</t>
  </si>
  <si>
    <t xml:space="preserve">LOT</t>
  </si>
  <si>
    <t xml:space="preserve">국내/해외</t>
  </si>
  <si>
    <t xml:space="preserve">전기 벌크</t>
  </si>
  <si>
    <t xml:space="preserve">변압기·MCC·케이블·트레이</t>
  </si>
  <si>
    <t xml:space="preserve">국내 G사</t>
  </si>
  <si>
    <t xml:space="preserve">계장품</t>
  </si>
  <si>
    <t xml:space="preserve">전송기·조절밸브·분석기</t>
  </si>
  <si>
    <t xml:space="preserve">해외 H사</t>
  </si>
  <si>
    <t xml:space="preserve">DCS / SIS</t>
  </si>
  <si>
    <t xml:space="preserve">제어시스템, 엔지니어링 포함</t>
  </si>
  <si>
    <t xml:space="preserve">해외 I사</t>
  </si>
  <si>
    <t xml:space="preserve">Spare Parts</t>
  </si>
  <si>
    <t xml:space="preserve">시운전 및 2년 운전용</t>
  </si>
  <si>
    <t xml:space="preserve">각 벤더</t>
  </si>
  <si>
    <t xml:space="preserve">기자재 합계</t>
  </si>
  <si>
    <r>
      <rPr>
        <b val="true"/>
        <sz val="16"/>
        <rFont val="맑은 고딕"/>
        <family val="0"/>
        <charset val="1"/>
      </rPr>
      <t xml:space="preserve">C. </t>
    </r>
    <r>
      <rPr>
        <b val="true"/>
        <sz val="16"/>
        <rFont val="Noto Sans CJK SC"/>
        <family val="2"/>
      </rPr>
      <t xml:space="preserve">시공 </t>
    </r>
    <r>
      <rPr>
        <b val="true"/>
        <sz val="16"/>
        <rFont val="맑은 고딕"/>
        <family val="0"/>
        <charset val="1"/>
      </rPr>
      <t xml:space="preserve">(Construction) </t>
    </r>
    <r>
      <rPr>
        <b val="true"/>
        <sz val="16"/>
        <rFont val="Noto Sans CJK SC"/>
        <family val="2"/>
      </rPr>
      <t xml:space="preserve">견적</t>
    </r>
  </si>
  <si>
    <t xml:space="preserve">공종별 물량 × (재료비 + 노무비 + 경비) 단가 — 기자재 본체 구매비는 P에 포함</t>
  </si>
  <si>
    <t xml:space="preserve">공종</t>
  </si>
  <si>
    <t xml:space="preserve">세부 내역</t>
  </si>
  <si>
    <t xml:space="preserve">재료비 단가</t>
  </si>
  <si>
    <t xml:space="preserve">노무비 단가</t>
  </si>
  <si>
    <t xml:space="preserve">경비 단가</t>
  </si>
  <si>
    <t xml:space="preserve">재료비</t>
  </si>
  <si>
    <t xml:space="preserve">노무비</t>
  </si>
  <si>
    <t xml:space="preserve">경비</t>
  </si>
  <si>
    <t xml:space="preserve">토목</t>
  </si>
  <si>
    <t xml:space="preserve">부지정지·터파기</t>
  </si>
  <si>
    <t xml:space="preserve">M3</t>
  </si>
  <si>
    <t xml:space="preserve">기초 콘크리트 (철근 포함)</t>
  </si>
  <si>
    <t xml:space="preserve">파일 (PHC Φ500)</t>
  </si>
  <si>
    <t xml:space="preserve">건축</t>
  </si>
  <si>
    <t xml:space="preserve">제어실·전기실 건축</t>
  </si>
  <si>
    <t xml:space="preserve">M2</t>
  </si>
  <si>
    <t xml:space="preserve">철골</t>
  </si>
  <si>
    <t xml:space="preserve">파이프랙·구조물 제작/설치</t>
  </si>
  <si>
    <t xml:space="preserve">기계</t>
  </si>
  <si>
    <t xml:space="preserve">기기 설치 (정치·Alignment)</t>
  </si>
  <si>
    <t xml:space="preserve">배관</t>
  </si>
  <si>
    <t xml:space="preserve">배관 제작/설치 (Dia-Inch)</t>
  </si>
  <si>
    <t xml:space="preserve">D-I</t>
  </si>
  <si>
    <t xml:space="preserve">수압·기밀시험</t>
  </si>
  <si>
    <t xml:space="preserve">전기</t>
  </si>
  <si>
    <t xml:space="preserve">케이블 포설·결선</t>
  </si>
  <si>
    <t xml:space="preserve">M</t>
  </si>
  <si>
    <t xml:space="preserve">계장</t>
  </si>
  <si>
    <t xml:space="preserve">계장품 설치·Loop Test</t>
  </si>
  <si>
    <t xml:space="preserve">LOOP</t>
  </si>
  <si>
    <t xml:space="preserve">도장 (표면처리 포함)</t>
  </si>
  <si>
    <t xml:space="preserve">보온·보냉</t>
  </si>
  <si>
    <r>
      <rPr>
        <sz val="10"/>
        <rFont val="맑은 고딕"/>
        <family val="0"/>
        <charset val="1"/>
      </rPr>
      <t xml:space="preserve">Pre-Comm. / Comm. </t>
    </r>
    <r>
      <rPr>
        <sz val="10"/>
        <rFont val="Noto Sans CJK SC"/>
        <family val="2"/>
      </rPr>
      <t xml:space="preserve">지원</t>
    </r>
  </si>
  <si>
    <t xml:space="preserve">LS</t>
  </si>
  <si>
    <t xml:space="preserve">시공 직접비 합계</t>
  </si>
  <si>
    <t xml:space="preserve">현장 간접비 (Field Indirects &amp; General Expenses)</t>
  </si>
  <si>
    <t xml:space="preserve">인원·기간 기반 항목은 수량×기간×단가, 요율 항목은 '가정' 시트 연동</t>
  </si>
  <si>
    <t xml:space="preserve">산출 기준</t>
  </si>
  <si>
    <t xml:space="preserve">기간(월)</t>
  </si>
  <si>
    <t xml:space="preserve">단가 (KRW)</t>
  </si>
  <si>
    <t xml:space="preserve">현장 관리인원 인건비</t>
  </si>
  <si>
    <t xml:space="preserve">현장소장·공사·품질·안전·공무</t>
  </si>
  <si>
    <t xml:space="preserve">명</t>
  </si>
  <si>
    <t xml:space="preserve">가설 사무실·창고·숙소</t>
  </si>
  <si>
    <t xml:space="preserve">컨테이너, 임차료, 유지관리</t>
  </si>
  <si>
    <t xml:space="preserve">식</t>
  </si>
  <si>
    <t xml:space="preserve">가설 전기·용수·통신</t>
  </si>
  <si>
    <t xml:space="preserve">인입공사 및 사용료</t>
  </si>
  <si>
    <t xml:space="preserve">중장비 임차 (크레인 등)</t>
  </si>
  <si>
    <r>
      <rPr>
        <sz val="10"/>
        <rFont val="맑은 고딕"/>
        <family val="0"/>
        <charset val="1"/>
      </rPr>
      <t xml:space="preserve">Main </t>
    </r>
    <r>
      <rPr>
        <sz val="10"/>
        <rFont val="Noto Sans CJK SC"/>
        <family val="2"/>
      </rPr>
      <t xml:space="preserve">크레인 </t>
    </r>
    <r>
      <rPr>
        <sz val="10"/>
        <rFont val="맑은 고딕"/>
        <family val="0"/>
        <charset val="1"/>
      </rPr>
      <t xml:space="preserve">Mob/Demob </t>
    </r>
    <r>
      <rPr>
        <sz val="10"/>
        <rFont val="Noto Sans CJK SC"/>
        <family val="2"/>
      </rPr>
      <t xml:space="preserve">포함</t>
    </r>
  </si>
  <si>
    <t xml:space="preserve">현장 차량·운영 경비</t>
  </si>
  <si>
    <t xml:space="preserve">차량, 소모품, 복리후생</t>
  </si>
  <si>
    <t xml:space="preserve">품질관리 / 비파괴검사</t>
  </si>
  <si>
    <r>
      <rPr>
        <sz val="10"/>
        <rFont val="맑은 고딕"/>
        <family val="0"/>
        <charset val="1"/>
      </rPr>
      <t xml:space="preserve">RT/UT/PT </t>
    </r>
    <r>
      <rPr>
        <sz val="10"/>
        <rFont val="Noto Sans CJK SC"/>
        <family val="2"/>
      </rPr>
      <t xml:space="preserve">외주 포함</t>
    </r>
  </si>
  <si>
    <t xml:space="preserve">산업안전보건관리비</t>
  </si>
  <si>
    <t xml:space="preserve">시공 직접비 × 요율</t>
  </si>
  <si>
    <t xml:space="preserve">%</t>
  </si>
  <si>
    <t xml:space="preserve">건설공사보험 (CAR/EAR)</t>
  </si>
  <si>
    <r>
      <rPr>
        <sz val="10"/>
        <rFont val="맑은 고딕"/>
        <family val="0"/>
        <charset val="1"/>
      </rPr>
      <t xml:space="preserve">E+P+C </t>
    </r>
    <r>
      <rPr>
        <sz val="10"/>
        <rFont val="Noto Sans CJK SC"/>
        <family val="2"/>
      </rPr>
      <t xml:space="preserve">직접비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요율</t>
    </r>
  </si>
  <si>
    <t xml:space="preserve">보증수수료 (이행·선급·하자)</t>
  </si>
  <si>
    <t xml:space="preserve">간접비 합계</t>
  </si>
  <si>
    <t xml:space="preserve">견적 조건 · 가정 · 제외사항 (Clarifications &amp; Exclusions)</t>
  </si>
  <si>
    <t xml:space="preserve">입찰 시 견적서와 함께 제출하는 기술·상업 조건 — 프로젝트에 맞게 수정</t>
  </si>
  <si>
    <t xml:space="preserve">내용</t>
  </si>
  <si>
    <t xml:space="preserve">출처 · 근거</t>
  </si>
  <si>
    <t xml:space="preserve">가정</t>
  </si>
  <si>
    <t xml:space="preserve">견적은 발주처 ITB 및 Basic Design Package(Rev.0) 기준으로 산출함</t>
  </si>
  <si>
    <t xml:space="preserve">발주처 ITB·SOW 확인 대상 (D)</t>
  </si>
  <si>
    <t xml:space="preserve">부지는 정지 완료 상태로 인도되며, 지장물·오염토 처리는 발주처 부담</t>
  </si>
  <si>
    <t xml:space="preserve">외화 기자재는 견적 기준일 환율 적용, 환율 변동 ±5% 초과 시 협의</t>
  </si>
  <si>
    <t xml:space="preserve">공사 기간은 계약 후 24개월(기계적 준공 기준)이며 주 52시간 근무 기준</t>
  </si>
  <si>
    <t xml:space="preserve">시운전 유틸리티(전력·용수·원료·촉매)는 발주처 공급</t>
  </si>
  <si>
    <t xml:space="preserve">제외</t>
  </si>
  <si>
    <t xml:space="preserve">부지 매입, 인허가 수수료 및 각종 부담금</t>
  </si>
  <si>
    <t xml:space="preserve">촉매, 화학약품 및 초기 충전물(First Fill)</t>
  </si>
  <si>
    <r>
      <rPr>
        <sz val="10"/>
        <color rgb="FF0000FF"/>
        <rFont val="맑은 고딕"/>
        <family val="0"/>
        <charset val="1"/>
      </rPr>
      <t xml:space="preserve">Plant </t>
    </r>
    <r>
      <rPr>
        <sz val="10"/>
        <color rgb="FF0000FF"/>
        <rFont val="Noto Sans CJK SC"/>
        <family val="2"/>
      </rPr>
      <t xml:space="preserve">외부</t>
    </r>
    <r>
      <rPr>
        <sz val="10"/>
        <color rgb="FF0000FF"/>
        <rFont val="맑은 고딕"/>
        <family val="0"/>
        <charset val="1"/>
      </rPr>
      <t xml:space="preserve">(Battery Limit </t>
    </r>
    <r>
      <rPr>
        <sz val="10"/>
        <color rgb="FF0000FF"/>
        <rFont val="Noto Sans CJK SC"/>
        <family val="2"/>
      </rPr>
      <t xml:space="preserve">외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연결 공사</t>
    </r>
  </si>
  <si>
    <t xml:space="preserve">부가가치세 이외의 세금 및 발주처 귀책 지연에 따른 비용</t>
  </si>
  <si>
    <t xml:space="preserve">상업조건</t>
  </si>
  <si>
    <t xml:space="preserve">지급조건: 선급금 10% / 기성(Milestone) 80% / 준공 후 10%</t>
  </si>
  <si>
    <r>
      <rPr>
        <sz val="9"/>
        <rFont val="맑은 고딕"/>
        <family val="0"/>
        <charset val="1"/>
      </rPr>
      <t xml:space="preserve">[R38] FIDIC Silver Book Cl.14 (14.2 </t>
    </r>
    <r>
      <rPr>
        <sz val="9"/>
        <rFont val="Noto Sans CJK SC"/>
        <family val="2"/>
      </rPr>
      <t xml:space="preserve">선급금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비율은 예시값</t>
    </r>
    <r>
      <rPr>
        <sz val="9"/>
        <rFont val="맑은 고딕"/>
        <family val="0"/>
        <charset val="1"/>
      </rPr>
      <t xml:space="preserve">(D)</t>
    </r>
  </si>
  <si>
    <t xml:space="preserve">이행보증 10%, 선급금보증 100%, 하자보증 3% (24개월)</t>
  </si>
  <si>
    <r>
      <rPr>
        <sz val="9"/>
        <rFont val="맑은 고딕"/>
        <family val="0"/>
        <charset val="1"/>
      </rPr>
      <t xml:space="preserve">[R38] FIDIC Cl.4.2 / </t>
    </r>
    <r>
      <rPr>
        <sz val="9"/>
        <rFont val="Noto Sans CJK SC"/>
        <family val="2"/>
      </rPr>
      <t xml:space="preserve">참고 </t>
    </r>
    <r>
      <rPr>
        <sz val="9"/>
        <rFont val="맑은 고딕"/>
        <family val="0"/>
        <charset val="1"/>
      </rPr>
      <t xml:space="preserve">[R06] </t>
    </r>
    <r>
      <rPr>
        <sz val="9"/>
        <rFont val="Noto Sans CJK SC"/>
        <family val="2"/>
      </rPr>
      <t xml:space="preserve">국가계약법 시행령 제</t>
    </r>
    <r>
      <rPr>
        <sz val="9"/>
        <rFont val="맑은 고딕"/>
        <family val="0"/>
        <charset val="1"/>
      </rPr>
      <t xml:space="preserve">50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계약보증 </t>
    </r>
    <r>
      <rPr>
        <sz val="9"/>
        <rFont val="맑은 고딕"/>
        <family val="0"/>
        <charset val="1"/>
      </rPr>
      <t xml:space="preserve">10%), </t>
    </r>
    <r>
      <rPr>
        <sz val="9"/>
        <rFont val="Noto Sans CJK SC"/>
        <family val="2"/>
      </rPr>
      <t xml:space="preserve">시행규칙 제</t>
    </r>
    <r>
      <rPr>
        <sz val="9"/>
        <rFont val="맑은 고딕"/>
        <family val="0"/>
        <charset val="1"/>
      </rPr>
      <t xml:space="preserve">72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일반건축 등 하자보수 </t>
    </r>
    <r>
      <rPr>
        <sz val="9"/>
        <rFont val="맑은 고딕"/>
        <family val="0"/>
        <charset val="1"/>
      </rPr>
      <t xml:space="preserve">3%)</t>
    </r>
  </si>
  <si>
    <t xml:space="preserve">지체상금: 일 0.05%, 계약금액의 10% 한도</t>
  </si>
  <si>
    <r>
      <rPr>
        <sz val="9"/>
        <rFont val="맑은 고딕"/>
        <family val="0"/>
        <charset val="1"/>
      </rPr>
      <t xml:space="preserve">[R06] </t>
    </r>
    <r>
      <rPr>
        <sz val="9"/>
        <rFont val="Noto Sans CJK SC"/>
        <family val="2"/>
      </rPr>
      <t xml:space="preserve">국가계약법 시행규칙 제</t>
    </r>
    <r>
      <rPr>
        <sz val="9"/>
        <rFont val="맑은 고딕"/>
        <family val="0"/>
        <charset val="1"/>
      </rPr>
      <t xml:space="preserve">75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공사 일 </t>
    </r>
    <r>
      <rPr>
        <sz val="9"/>
        <rFont val="맑은 고딕"/>
        <family val="0"/>
        <charset val="1"/>
      </rPr>
      <t xml:space="preserve">0.5/1000 = 0.05%), </t>
    </r>
    <r>
      <rPr>
        <sz val="9"/>
        <rFont val="Noto Sans CJK SC"/>
        <family val="2"/>
      </rPr>
      <t xml:space="preserve">공공 상한 </t>
    </r>
    <r>
      <rPr>
        <sz val="9"/>
        <rFont val="맑은 고딕"/>
        <family val="0"/>
        <charset val="1"/>
      </rPr>
      <t xml:space="preserve">30%(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74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민간은 협의</t>
    </r>
    <r>
      <rPr>
        <sz val="9"/>
        <rFont val="맑은 고딕"/>
        <family val="0"/>
        <charset val="1"/>
      </rPr>
      <t xml:space="preserve">, [R38] Cl.8.8</t>
    </r>
  </si>
  <si>
    <t xml:space="preserve">견적 유효기간: 제출일로부터 90일</t>
  </si>
  <si>
    <t xml:space="preserve">발주처 ITB 요구 기간 (D)</t>
  </si>
  <si>
    <t xml:space="preserve">탱크 견적작성 예시 (API 650 현장조립 탱크 1기 기준)</t>
  </si>
  <si>
    <t xml:space="preserve">탱크 타입(Cone/Dome/EFR/IFR)을 바꾸면 타입별 항목이 자동 반영됩니다. 물량은 '탱크제작 체크리스트' 하단 산출표와 연동. 모든 단가는 가상 샘플값</t>
  </si>
  <si>
    <t xml:space="preserve">파란 글씨+노란 칸 = 입력 / 검은 글씨 = 계산식 / 초록 글씨 = 다른 시트 연동. 근거 수준 A~D는 '참고문헌' 시트 참조</t>
  </si>
  <si>
    <r>
      <rPr>
        <b val="true"/>
        <sz val="12"/>
        <rFont val="맑은 고딕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견적 기준</t>
    </r>
  </si>
  <si>
    <r>
      <rPr>
        <b val="true"/>
        <sz val="12"/>
        <rFont val="맑은 고딕"/>
        <family val="0"/>
        <charset val="1"/>
      </rPr>
      <t xml:space="preserve">2. </t>
    </r>
    <r>
      <rPr>
        <b val="true"/>
        <sz val="12"/>
        <rFont val="Noto Sans CJK SC"/>
        <family val="2"/>
      </rPr>
      <t xml:space="preserve">타입별 계수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예시</t>
    </r>
    <r>
      <rPr>
        <b val="true"/>
        <sz val="12"/>
        <rFont val="맑은 고딕"/>
        <family val="0"/>
        <charset val="1"/>
      </rPr>
      <t xml:space="preserve">)</t>
    </r>
  </si>
  <si>
    <t xml:space="preserve">고정지붕</t>
  </si>
  <si>
    <t xml:space="preserve">설치 MH 계수</t>
  </si>
  <si>
    <r>
      <rPr>
        <b val="true"/>
        <sz val="10"/>
        <color rgb="FFFFFFFF"/>
        <rFont val="맑은 고딕"/>
        <family val="0"/>
        <charset val="1"/>
      </rPr>
      <t xml:space="preserve">Seal </t>
    </r>
    <r>
      <rPr>
        <b val="true"/>
        <sz val="10"/>
        <color rgb="FFFFFFFF"/>
        <rFont val="Noto Sans CJK SC"/>
        <family val="2"/>
      </rPr>
      <t xml:space="preserve">단가 </t>
    </r>
    <r>
      <rPr>
        <b val="true"/>
        <sz val="10"/>
        <color rgb="FFFFFFFF"/>
        <rFont val="맑은 고딕"/>
        <family val="0"/>
        <charset val="1"/>
      </rPr>
      <t xml:space="preserve">(KRW/m)</t>
    </r>
  </si>
  <si>
    <t xml:space="preserve">Cone Roof</t>
  </si>
  <si>
    <t xml:space="preserve">입찰 범위 ('탱크 타입별 고려사항' 시트 참조)</t>
  </si>
  <si>
    <r>
      <rPr>
        <sz val="9"/>
        <rFont val="맑은 고딕"/>
        <family val="0"/>
        <charset val="1"/>
      </rPr>
      <t xml:space="preserve">P_</t>
    </r>
    <r>
      <rPr>
        <sz val="9"/>
        <rFont val="Noto Sans CJK SC"/>
        <family val="2"/>
      </rPr>
      <t xml:space="preserve">기자재 </t>
    </r>
    <r>
      <rPr>
        <sz val="9"/>
        <rFont val="맑은 고딕"/>
        <family val="0"/>
        <charset val="1"/>
      </rPr>
      <t xml:space="preserve">TK-601~604 </t>
    </r>
    <r>
      <rPr>
        <sz val="9"/>
        <rFont val="Noto Sans CJK SC"/>
        <family val="2"/>
      </rPr>
      <t xml:space="preserve">가정과 동일</t>
    </r>
  </si>
  <si>
    <t xml:space="preserve">기</t>
  </si>
  <si>
    <t xml:space="preserve">Dome Roof</t>
  </si>
  <si>
    <t xml:space="preserve">기초 공사 포함 여부</t>
  </si>
  <si>
    <t xml:space="preserve">N</t>
  </si>
  <si>
    <r>
      <rPr>
        <sz val="9"/>
        <rFont val="맑은 고딕"/>
        <family val="0"/>
        <charset val="1"/>
      </rPr>
      <t xml:space="preserve">SOW </t>
    </r>
    <r>
      <rPr>
        <sz val="9"/>
        <rFont val="Noto Sans CJK SC"/>
        <family val="2"/>
      </rPr>
      <t xml:space="preserve">범위 확인 </t>
    </r>
    <r>
      <rPr>
        <sz val="9"/>
        <rFont val="맑은 고딕"/>
        <family val="0"/>
        <charset val="1"/>
      </rPr>
      <t xml:space="preserve">('</t>
    </r>
    <r>
      <rPr>
        <sz val="9"/>
        <rFont val="Noto Sans CJK SC"/>
        <family val="2"/>
      </rPr>
      <t xml:space="preserve">탱크제작 체크리스트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기초 범위 구분</t>
    </r>
    <r>
      <rPr>
        <sz val="9"/>
        <rFont val="맑은 고딕"/>
        <family val="0"/>
        <charset val="1"/>
      </rPr>
      <t xml:space="preserve">)</t>
    </r>
  </si>
  <si>
    <t xml:space="preserve">Y/N</t>
  </si>
  <si>
    <t xml:space="preserve">내경 D</t>
  </si>
  <si>
    <t xml:space="preserve">탱크 산출표 연동</t>
  </si>
  <si>
    <t xml:space="preserve">셸 높이 H</t>
  </si>
  <si>
    <t xml:space="preserve">※ 계수·Seal 단가는 예시값(출처 없음, D). 타입별 차이 근거: [R32] API 650 Annex C(EFR)/H(IFR), [R08] 별표16(이중 Seal)</t>
  </si>
  <si>
    <t xml:space="preserve">공칭 용량</t>
  </si>
  <si>
    <t xml:space="preserve">π/4·D²·H</t>
  </si>
  <si>
    <t xml:space="preserve">공칭 용량 (리터)</t>
  </si>
  <si>
    <t xml:space="preserve">L</t>
  </si>
  <si>
    <t xml:space="preserve">탱크안전성능검사 (기초·지반·용접부)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</si>
  <si>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시행령 제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조 — 옥외 액체위험물탱크 </t>
    </r>
    <r>
      <rPr>
        <sz val="9"/>
        <rFont val="맑은 고딕"/>
        <family val="0"/>
        <charset val="1"/>
      </rPr>
      <t xml:space="preserve">100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L </t>
    </r>
    <r>
      <rPr>
        <sz val="9"/>
        <rFont val="Noto Sans CJK SC"/>
        <family val="2"/>
      </rPr>
      <t xml:space="preserve">이상</t>
    </r>
  </si>
  <si>
    <t xml:space="preserve">완공검사 수행기관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</si>
  <si>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시행령 제</t>
    </r>
    <r>
      <rPr>
        <sz val="9"/>
        <rFont val="맑은 고딕"/>
        <family val="0"/>
        <charset val="1"/>
      </rPr>
      <t xml:space="preserve">22</t>
    </r>
    <r>
      <rPr>
        <sz val="9"/>
        <rFont val="Noto Sans CJK SC"/>
        <family val="2"/>
      </rPr>
      <t xml:space="preserve">조 — </t>
    </r>
    <r>
      <rPr>
        <sz val="9"/>
        <rFont val="맑은 고딕"/>
        <family val="0"/>
        <charset val="1"/>
      </rPr>
      <t xml:space="preserve">50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L </t>
    </r>
    <r>
      <rPr>
        <sz val="9"/>
        <rFont val="Noto Sans CJK SC"/>
        <family val="2"/>
      </rPr>
      <t xml:space="preserve">이상 옥외탱크저장소</t>
    </r>
  </si>
  <si>
    <r>
      <rPr>
        <b val="true"/>
        <sz val="10"/>
        <rFont val="맑은 고딕"/>
        <family val="0"/>
        <charset val="1"/>
      </rPr>
      <t xml:space="preserve">Nesting </t>
    </r>
    <r>
      <rPr>
        <b val="true"/>
        <sz val="10"/>
        <rFont val="Noto Sans CJK SC"/>
        <family val="2"/>
      </rPr>
      <t xml:space="preserve">스크랩 할증</t>
    </r>
  </si>
  <si>
    <t xml:space="preserve">탱크 산출표 연동 (실무 예시값)</t>
  </si>
  <si>
    <r>
      <rPr>
        <b val="true"/>
        <sz val="10"/>
        <rFont val="맑은 고딕"/>
        <family val="0"/>
        <charset val="1"/>
      </rPr>
      <t xml:space="preserve">EFR Deck·Pontoon </t>
    </r>
    <r>
      <rPr>
        <b val="true"/>
        <sz val="10"/>
        <rFont val="Noto Sans CJK SC"/>
        <family val="2"/>
      </rPr>
      <t xml:space="preserve">강재 원단위</t>
    </r>
  </si>
  <si>
    <t xml:space="preserve">실무 예시값 (출처 없음) — Pontoon/Double Deck 설계 결과로 교체</t>
  </si>
  <si>
    <t xml:space="preserve">t/m2</t>
  </si>
  <si>
    <t xml:space="preserve">설치 중량 (1기)</t>
  </si>
  <si>
    <t xml:space="preserve">셸·바닥 + 고정지붕 + 부속 + EFR Deck</t>
  </si>
  <si>
    <r>
      <rPr>
        <b val="true"/>
        <sz val="12"/>
        <rFont val="맑은 고딕"/>
        <family val="0"/>
        <charset val="1"/>
      </rPr>
      <t xml:space="preserve">3. </t>
    </r>
    <r>
      <rPr>
        <b val="true"/>
        <sz val="12"/>
        <rFont val="Noto Sans CJK SC"/>
        <family val="2"/>
      </rPr>
      <t xml:space="preserve">견적 상세 </t>
    </r>
    <r>
      <rPr>
        <b val="true"/>
        <sz val="12"/>
        <rFont val="맑은 고딕"/>
        <family val="0"/>
        <charset val="1"/>
      </rPr>
      <t xml:space="preserve">(1</t>
    </r>
    <r>
      <rPr>
        <b val="true"/>
        <sz val="12"/>
        <rFont val="Noto Sans CJK SC"/>
        <family val="2"/>
      </rPr>
      <t xml:space="preserve">기</t>
    </r>
    <r>
      <rPr>
        <b val="true"/>
        <sz val="12"/>
        <rFont val="맑은 고딕"/>
        <family val="0"/>
        <charset val="1"/>
      </rPr>
      <t xml:space="preserve">)</t>
    </r>
  </si>
  <si>
    <t xml:space="preserve">연계 체크 항목</t>
  </si>
  <si>
    <t xml:space="preserve">셸·바닥 강판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</si>
  <si>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셸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바닥 중량</t>
    </r>
    <r>
      <rPr>
        <sz val="10"/>
        <rFont val="맑은 고딕"/>
        <family val="0"/>
        <charset val="1"/>
      </rPr>
      <t xml:space="preserve">) × (1+</t>
    </r>
    <r>
      <rPr>
        <sz val="10"/>
        <rFont val="Noto Sans CJK SC"/>
        <family val="2"/>
      </rPr>
      <t xml:space="preserve">스크랩</t>
    </r>
    <r>
      <rPr>
        <sz val="10"/>
        <rFont val="맑은 고딕"/>
        <family val="0"/>
        <charset val="1"/>
      </rPr>
      <t xml:space="preserve">)</t>
    </r>
  </si>
  <si>
    <t xml:space="preserve">강판 물량·Nesting</t>
  </si>
  <si>
    <r>
      <rPr>
        <sz val="9"/>
        <rFont val="맑은 고딕"/>
        <family val="0"/>
        <charset val="1"/>
      </rPr>
      <t xml:space="preserve">[R32] API 650 5.6 (</t>
    </r>
    <r>
      <rPr>
        <sz val="9"/>
        <rFont val="Noto Sans CJK SC"/>
        <family val="2"/>
      </rPr>
      <t xml:space="preserve">두께 산정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산출표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</si>
  <si>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B/D</t>
  </si>
  <si>
    <t xml:space="preserve">고정지붕 강판 (Cone·Dome·IFR)</t>
  </si>
  <si>
    <t xml:space="preserve">지붕판 중량 × (1+스크랩) × 고정지붕 여부</t>
  </si>
  <si>
    <t xml:space="preserve">샘플 단가 (출처 없음) — 자사 실적·벤더 견적으로 교체</t>
  </si>
  <si>
    <t xml:space="preserve">부속·구조물 강재</t>
  </si>
  <si>
    <t xml:space="preserve">계단·플랫폼·보강재·지붕 구조</t>
  </si>
  <si>
    <t xml:space="preserve">EFR Deck · Pontoon</t>
  </si>
  <si>
    <r>
      <rPr>
        <sz val="10"/>
        <rFont val="맑은 고딕"/>
        <family val="0"/>
        <charset val="1"/>
      </rPr>
      <t xml:space="preserve">EFR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바닥 면적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원단위</t>
    </r>
  </si>
  <si>
    <r>
      <rPr>
        <sz val="9"/>
        <rFont val="맑은 고딕"/>
        <family val="0"/>
        <charset val="1"/>
      </rPr>
      <t xml:space="preserve">EFR </t>
    </r>
    <r>
      <rPr>
        <sz val="9"/>
        <rFont val="Noto Sans CJK SC"/>
        <family val="2"/>
      </rPr>
      <t xml:space="preserve">지붕 형식</t>
    </r>
  </si>
  <si>
    <r>
      <rPr>
        <sz val="9"/>
        <rFont val="맑은 고딕"/>
        <family val="0"/>
        <charset val="1"/>
      </rPr>
      <t xml:space="preserve">[R32] API 650 Annex C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</si>
  <si>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A/D</t>
  </si>
  <si>
    <r>
      <rPr>
        <sz val="10"/>
        <rFont val="맑은 고딕"/>
        <family val="0"/>
        <charset val="1"/>
      </rPr>
      <t xml:space="preserve">IFR </t>
    </r>
    <r>
      <rPr>
        <sz val="10"/>
        <rFont val="Noto Sans CJK SC"/>
        <family val="2"/>
      </rPr>
      <t xml:space="preserve">알루미늄 </t>
    </r>
    <r>
      <rPr>
        <sz val="10"/>
        <rFont val="맑은 고딕"/>
        <family val="0"/>
        <charset val="1"/>
      </rPr>
      <t xml:space="preserve">Deck (</t>
    </r>
    <r>
      <rPr>
        <sz val="10"/>
        <rFont val="Noto Sans CJK SC"/>
        <family val="2"/>
      </rPr>
      <t xml:space="preserve">벤더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</si>
  <si>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IFR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바닥 면적</t>
    </r>
  </si>
  <si>
    <t xml:space="preserve">m2</t>
  </si>
  <si>
    <r>
      <rPr>
        <sz val="9"/>
        <rFont val="맑은 고딕"/>
        <family val="0"/>
        <charset val="1"/>
      </rPr>
      <t xml:space="preserve">IFR Deck </t>
    </r>
    <r>
      <rPr>
        <sz val="9"/>
        <rFont val="Noto Sans CJK SC"/>
        <family val="2"/>
      </rPr>
      <t xml:space="preserve">형식</t>
    </r>
  </si>
  <si>
    <r>
      <rPr>
        <sz val="9"/>
        <rFont val="맑은 고딕"/>
        <family val="0"/>
        <charset val="1"/>
      </rPr>
      <t xml:space="preserve">[R32] API 650 Annex H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</si>
  <si>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r>
      <rPr>
        <sz val="10"/>
        <rFont val="맑은 고딕"/>
        <family val="0"/>
        <charset val="1"/>
      </rPr>
      <t xml:space="preserve">EFR·IFR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원주 </t>
    </r>
    <r>
      <rPr>
        <sz val="10"/>
        <rFont val="맑은 고딕"/>
        <family val="0"/>
        <charset val="1"/>
      </rPr>
      <t xml:space="preserve">πD (EFR</t>
    </r>
    <r>
      <rPr>
        <sz val="10"/>
        <rFont val="Noto Sans CJK SC"/>
        <family val="2"/>
      </rPr>
      <t xml:space="preserve">은 이중 </t>
    </r>
    <r>
      <rPr>
        <sz val="10"/>
        <rFont val="맑은 고딕"/>
        <family val="0"/>
        <charset val="1"/>
      </rPr>
      <t xml:space="preserve">Seal </t>
    </r>
    <r>
      <rPr>
        <sz val="10"/>
        <rFont val="Noto Sans CJK SC"/>
        <family val="2"/>
      </rPr>
      <t xml:space="preserve">단가</t>
    </r>
    <r>
      <rPr>
        <sz val="10"/>
        <rFont val="맑은 고딕"/>
        <family val="0"/>
        <charset val="1"/>
      </rPr>
      <t xml:space="preserve">)</t>
    </r>
  </si>
  <si>
    <t xml:space="preserve">이중 Seal / Seal 형식</t>
  </si>
  <si>
    <r>
      <rPr>
        <sz val="9"/>
        <rFont val="맑은 고딕"/>
        <family val="0"/>
        <charset val="1"/>
      </rPr>
      <t xml:space="preserve">[R08] </t>
    </r>
    <r>
      <rPr>
        <sz val="9"/>
        <rFont val="Noto Sans CJK SC"/>
        <family val="2"/>
      </rPr>
      <t xml:space="preserve">대기환경보전법 시행규칙 별표</t>
    </r>
    <r>
      <rPr>
        <sz val="9"/>
        <rFont val="맑은 고딕"/>
        <family val="0"/>
        <charset val="1"/>
      </rPr>
      <t xml:space="preserve">16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</si>
  <si>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Roof Drain · Rolling Ladder</t>
  </si>
  <si>
    <r>
      <rPr>
        <sz val="10"/>
        <rFont val="맑은 고딕"/>
        <family val="0"/>
        <charset val="1"/>
      </rPr>
      <t xml:space="preserve">EFR </t>
    </r>
    <r>
      <rPr>
        <sz val="10"/>
        <rFont val="Noto Sans CJK SC"/>
        <family val="2"/>
      </rPr>
      <t xml:space="preserve">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식</t>
    </r>
  </si>
  <si>
    <t xml:space="preserve">Roof Drain / Rolling Ladder</t>
  </si>
  <si>
    <t xml:space="preserve">노즐·맨홀·부속품</t>
  </si>
  <si>
    <t xml:space="preserve">노즐 단조품, 게이지, 통기·화염방지기</t>
  </si>
  <si>
    <t xml:space="preserve">노즐·맨홀 / 통기</t>
  </si>
  <si>
    <r>
      <rPr>
        <sz val="9"/>
        <rFont val="맑은 고딕"/>
        <family val="0"/>
        <charset val="1"/>
      </rPr>
      <t xml:space="preserve">[R37] API 2000 (</t>
    </r>
    <r>
      <rPr>
        <sz val="9"/>
        <rFont val="Noto Sans CJK SC"/>
        <family val="2"/>
      </rPr>
      <t xml:space="preserve">통기 용량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</si>
  <si>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용접 소모품</t>
  </si>
  <si>
    <t xml:space="preserve">설치 중량 기준</t>
  </si>
  <si>
    <t xml:space="preserve">소모품</t>
  </si>
  <si>
    <t xml:space="preserve">제작·설치 노무</t>
  </si>
  <si>
    <t xml:space="preserve">설치 중량 × 30 MH/ton × 타입 계수</t>
  </si>
  <si>
    <t xml:space="preserve">MH</t>
  </si>
  <si>
    <t xml:space="preserve">조립 공법 / 용접 생산성</t>
  </si>
  <si>
    <r>
      <rPr>
        <sz val="9"/>
        <rFont val="맑은 고딕"/>
        <family val="0"/>
        <charset val="1"/>
      </rPr>
      <t xml:space="preserve">MH </t>
    </r>
    <r>
      <rPr>
        <sz val="9"/>
        <rFont val="Noto Sans CJK SC"/>
        <family val="2"/>
      </rPr>
      <t xml:space="preserve">원단위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노임 모두 예시값 —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</si>
  <si>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r>
      <rPr>
        <sz val="10"/>
        <rFont val="맑은 고딕"/>
        <family val="0"/>
        <charset val="1"/>
      </rPr>
      <t xml:space="preserve">Jack-up </t>
    </r>
    <r>
      <rPr>
        <sz val="10"/>
        <rFont val="Noto Sans CJK SC"/>
        <family val="2"/>
      </rPr>
      <t xml:space="preserve">장비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크레인</t>
    </r>
  </si>
  <si>
    <t xml:space="preserve">동원 기간</t>
  </si>
  <si>
    <t xml:space="preserve">월</t>
  </si>
  <si>
    <t xml:space="preserve">크레인·장비</t>
  </si>
  <si>
    <t xml:space="preserve">셸 내·외부</t>
  </si>
  <si>
    <t xml:space="preserve">비계·작업대</t>
  </si>
  <si>
    <t xml:space="preserve">치수 교정 · 그라인딩</t>
  </si>
  <si>
    <r>
      <rPr>
        <sz val="10"/>
        <rFont val="맑은 고딕"/>
        <family val="0"/>
        <charset val="1"/>
      </rPr>
      <t xml:space="preserve">EFR</t>
    </r>
    <r>
      <rPr>
        <sz val="10"/>
        <rFont val="Noto Sans CJK SC"/>
        <family val="2"/>
      </rPr>
      <t xml:space="preserve">은 진원도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내면 평활도 관리 강화</t>
    </r>
  </si>
  <si>
    <t xml:space="preserve">치수 관리 / 셸 진원도</t>
  </si>
  <si>
    <r>
      <rPr>
        <sz val="9"/>
        <rFont val="맑은 고딕"/>
        <family val="0"/>
        <charset val="1"/>
      </rPr>
      <t xml:space="preserve">[R32] API 650 7.5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</si>
  <si>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셸 RT (Spot)</t>
  </si>
  <si>
    <t xml:space="preserve">용접 길이·두께별 매수 (예시 120매)</t>
  </si>
  <si>
    <t xml:space="preserve">매</t>
  </si>
  <si>
    <r>
      <rPr>
        <sz val="9"/>
        <rFont val="맑은 고딕"/>
        <family val="0"/>
        <charset val="1"/>
      </rPr>
      <t xml:space="preserve">[R32] API 650 8.1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</si>
  <si>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바닥 면적 × 0.75 m/m2 (용접 길이 원단위 예시)</t>
  </si>
  <si>
    <r>
      <rPr>
        <sz val="9"/>
        <rFont val="맑은 고딕"/>
        <family val="0"/>
        <charset val="1"/>
      </rPr>
      <t xml:space="preserve">[R32] API 650 (</t>
    </r>
    <r>
      <rPr>
        <sz val="9"/>
        <rFont val="Noto Sans CJK SC"/>
        <family val="2"/>
      </rPr>
      <t xml:space="preserve">조항 미확인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</si>
  <si>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C/D</t>
  </si>
  <si>
    <t xml:space="preserve">충수 시험수 공급</t>
  </si>
  <si>
    <r>
      <rPr>
        <sz val="9"/>
        <rFont val="맑은 고딕"/>
        <family val="0"/>
        <charset val="1"/>
      </rPr>
      <t xml:space="preserve">[R32] API 650 7.3.6 / </t>
    </r>
    <r>
      <rPr>
        <sz val="9"/>
        <rFont val="Noto Sans CJK SC"/>
        <family val="2"/>
      </rPr>
      <t xml:space="preserve">용수 단가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</si>
  <si>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시험수 배수 처리</t>
  </si>
  <si>
    <t xml:space="preserve">부상 시험 · 침하 측정</t>
  </si>
  <si>
    <t xml:space="preserve">충수 단계별 측정 (EFR·IFR은 부상 시험 추가)</t>
  </si>
  <si>
    <t xml:space="preserve">충수 기간·침하 / 부상 시험</t>
  </si>
  <si>
    <r>
      <rPr>
        <sz val="9"/>
        <rFont val="맑은 고딕"/>
        <family val="0"/>
        <charset val="1"/>
      </rPr>
      <t xml:space="preserve">[R32] API 650 7.3.6, Annex B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</si>
  <si>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탱크안전성능검사·완공검사 대응</t>
  </si>
  <si>
    <t xml:space="preserve">검사 대상이면 1식 (수수료 금액은 기술원 기준 확인)</t>
  </si>
  <si>
    <t xml:space="preserve">탱크안전성능검사 / 완공검사</t>
  </si>
  <si>
    <r>
      <rPr>
        <sz val="9"/>
        <rFont val="맑은 고딕"/>
        <family val="0"/>
        <charset val="1"/>
      </rPr>
      <t xml:space="preserve">[R01] </t>
    </r>
    <r>
      <rPr>
        <sz val="9"/>
        <rFont val="Noto Sans CJK SC"/>
        <family val="2"/>
      </rPr>
      <t xml:space="preserve">위험물법 제</t>
    </r>
    <r>
      <rPr>
        <sz val="9"/>
        <rFont val="맑은 고딕"/>
        <family val="0"/>
        <charset val="1"/>
      </rPr>
      <t xml:space="preserve">8·9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8·22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금액은 예시</t>
    </r>
  </si>
  <si>
    <t xml:space="preserve">외부 도장 (셸 + 지붕)</t>
  </si>
  <si>
    <r>
      <rPr>
        <sz val="10"/>
        <rFont val="맑은 고딕"/>
        <family val="0"/>
        <charset val="1"/>
      </rPr>
      <t xml:space="preserve">πDH + </t>
    </r>
    <r>
      <rPr>
        <sz val="10"/>
        <rFont val="Noto Sans CJK SC"/>
        <family val="2"/>
      </rPr>
      <t xml:space="preserve">바닥면적</t>
    </r>
    <r>
      <rPr>
        <sz val="10"/>
        <rFont val="맑은 고딕"/>
        <family val="0"/>
        <charset val="1"/>
      </rPr>
      <t xml:space="preserve">×1.02 (</t>
    </r>
    <r>
      <rPr>
        <sz val="10"/>
        <rFont val="Noto Sans CJK SC"/>
        <family val="2"/>
      </rPr>
      <t xml:space="preserve">지붕</t>
    </r>
    <r>
      <rPr>
        <sz val="10"/>
        <rFont val="맑은 고딕"/>
        <family val="0"/>
        <charset val="1"/>
      </rPr>
      <t xml:space="preserve">)</t>
    </r>
  </si>
  <si>
    <t xml:space="preserve">외부 도장</t>
  </si>
  <si>
    <r>
      <rPr>
        <sz val="9"/>
        <rFont val="맑은 고딕"/>
        <family val="0"/>
        <charset val="1"/>
      </rPr>
      <t xml:space="preserve">[R28] ISO 8501-1 (</t>
    </r>
    <r>
      <rPr>
        <sz val="9"/>
        <rFont val="Noto Sans CJK SC"/>
        <family val="2"/>
      </rPr>
      <t xml:space="preserve">표면처리 등급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</si>
  <si>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내부 코팅 (바닥 + 셸 하부 1m)</t>
  </si>
  <si>
    <t xml:space="preserve">바닥면적 + πD × 1m</t>
  </si>
  <si>
    <t xml:space="preserve">내부 라이닝·코팅</t>
  </si>
  <si>
    <t xml:space="preserve">링월 콘크리트 (범위 포함 시)</t>
  </si>
  <si>
    <r>
      <rPr>
        <sz val="10"/>
        <rFont val="맑은 고딕"/>
        <family val="0"/>
        <charset val="1"/>
      </rPr>
      <t xml:space="preserve">πD × </t>
    </r>
    <r>
      <rPr>
        <sz val="10"/>
        <rFont val="Noto Sans CJK SC"/>
        <family val="2"/>
      </rPr>
      <t xml:space="preserve">폭 </t>
    </r>
    <r>
      <rPr>
        <sz val="10"/>
        <rFont val="맑은 고딕"/>
        <family val="0"/>
        <charset val="1"/>
      </rPr>
      <t xml:space="preserve">0.6m × </t>
    </r>
    <r>
      <rPr>
        <sz val="10"/>
        <rFont val="Noto Sans CJK SC"/>
        <family val="2"/>
      </rPr>
      <t xml:space="preserve">높이 </t>
    </r>
    <r>
      <rPr>
        <sz val="10"/>
        <rFont val="맑은 고딕"/>
        <family val="0"/>
        <charset val="1"/>
      </rPr>
      <t xml:space="preserve">1.5m</t>
    </r>
  </si>
  <si>
    <t xml:space="preserve">지반조사·기초 형식</t>
  </si>
  <si>
    <r>
      <rPr>
        <sz val="9"/>
        <rFont val="맑은 고딕"/>
        <family val="0"/>
        <charset val="1"/>
      </rPr>
      <t xml:space="preserve">[R32] API 650 Annex B / </t>
    </r>
    <r>
      <rPr>
        <sz val="9"/>
        <rFont val="Noto Sans CJK SC"/>
        <family val="2"/>
      </rPr>
      <t xml:space="preserve">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</si>
  <si>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샌드패드 · 아스팔트 (범위 포함 시)</t>
  </si>
  <si>
    <t xml:space="preserve">바닥 면적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</si>
  <si>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기 직접비 소계</t>
    </r>
  </si>
  <si>
    <t xml:space="preserve">예비비</t>
  </si>
  <si>
    <t xml:space="preserve">리스크 평가 (D). 견적 정확도 참고: [R29] AACE 18R-97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</si>
  <si>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기 견적 금액</t>
    </r>
  </si>
  <si>
    <t xml:space="preserve">탱크 총 견적 금액 (× 수량)</t>
  </si>
  <si>
    <t xml:space="preserve">톤당 단가 (검토용)</t>
  </si>
  <si>
    <r>
      <rPr>
        <b val="true"/>
        <sz val="10"/>
        <rFont val="맑은 고딕"/>
        <family val="0"/>
        <charset val="1"/>
      </rPr>
      <t xml:space="preserve">P_</t>
    </r>
    <r>
      <rPr>
        <b val="true"/>
        <sz val="10"/>
        <rFont val="Noto Sans CJK SC"/>
        <family val="2"/>
      </rPr>
      <t xml:space="preserve">기자재 시트 </t>
    </r>
    <r>
      <rPr>
        <b val="true"/>
        <sz val="10"/>
        <rFont val="맑은 고딕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단가 대비</t>
    </r>
  </si>
  <si>
    <r>
      <rPr>
        <sz val="9"/>
        <color rgb="FF666666"/>
        <rFont val="맑은 고딕"/>
        <family val="0"/>
        <charset val="1"/>
      </rPr>
      <t xml:space="preserve">1.0</t>
    </r>
    <r>
      <rPr>
        <sz val="9"/>
        <color rgb="FF666666"/>
        <rFont val="Noto Sans CJK SC"/>
        <family val="2"/>
      </rPr>
      <t xml:space="preserve">배 근처면 </t>
    </r>
    <r>
      <rPr>
        <sz val="9"/>
        <color rgb="FF666666"/>
        <rFont val="맑은 고딕"/>
        <family val="0"/>
        <charset val="1"/>
      </rPr>
      <t xml:space="preserve">P_</t>
    </r>
    <r>
      <rPr>
        <sz val="9"/>
        <color rgb="FF666666"/>
        <rFont val="Noto Sans CJK SC"/>
        <family val="2"/>
      </rPr>
      <t xml:space="preserve">기자재 시트의 </t>
    </r>
    <r>
      <rPr>
        <sz val="9"/>
        <color rgb="FF666666"/>
        <rFont val="맑은 고딕"/>
        <family val="0"/>
        <charset val="1"/>
      </rPr>
      <t xml:space="preserve">TK </t>
    </r>
    <r>
      <rPr>
        <sz val="9"/>
        <color rgb="FF666666"/>
        <rFont val="Noto Sans CJK SC"/>
        <family val="2"/>
      </rPr>
      <t xml:space="preserve">단가 가정과 비슷한 수준</t>
    </r>
  </si>
  <si>
    <t xml:space="preserve">배관 공사 견적작성 예시 (석유화학 플랜트)</t>
  </si>
  <si>
    <t xml:space="preserve">라인 그룹별 재질·두께·현장조건·서비스 등급을 고르면 공수·검사·PWHT 물량이 계산됩니다. 보정계수는 '석유화학·배관 체크리스트' 하단 표와 연동. 모든 단가는 가상 샘플값</t>
  </si>
  <si>
    <r>
      <rPr>
        <b val="true"/>
        <sz val="12"/>
        <rFont val="맑은 고딕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계수표</t>
    </r>
  </si>
  <si>
    <t xml:space="preserve">계수</t>
  </si>
  <si>
    <t xml:space="preserve">현장 조건</t>
  </si>
  <si>
    <t xml:space="preserve">서비스 등급</t>
  </si>
  <si>
    <r>
      <rPr>
        <b val="true"/>
        <sz val="10"/>
        <color rgb="FFFFFFFF"/>
        <rFont val="맑은 고딕"/>
        <family val="0"/>
        <charset val="1"/>
      </rPr>
      <t xml:space="preserve">RT/UT </t>
    </r>
    <r>
      <rPr>
        <b val="true"/>
        <sz val="10"/>
        <color rgb="FFFFFFFF"/>
        <rFont val="Noto Sans CJK SC"/>
        <family val="2"/>
      </rPr>
      <t xml:space="preserve">비율</t>
    </r>
  </si>
  <si>
    <r>
      <rPr>
        <sz val="10"/>
        <rFont val="맑은 고딕"/>
        <family val="0"/>
        <charset val="1"/>
      </rPr>
      <t xml:space="preserve">Sch.40 </t>
    </r>
    <r>
      <rPr>
        <sz val="10"/>
        <rFont val="Noto Sans CJK SC"/>
        <family val="2"/>
      </rPr>
      <t xml:space="preserve">이하</t>
    </r>
  </si>
  <si>
    <t xml:space="preserve">일반</t>
  </si>
  <si>
    <t xml:space="preserve">Normal</t>
  </si>
  <si>
    <r>
      <rPr>
        <sz val="9"/>
        <rFont val="맑은 고딕"/>
        <family val="0"/>
        <charset val="1"/>
      </rPr>
      <t xml:space="preserve">[R12] B31.3 341.4.1 (5% </t>
    </r>
    <r>
      <rPr>
        <sz val="9"/>
        <rFont val="Noto Sans CJK SC"/>
        <family val="2"/>
      </rPr>
      <t xml:space="preserve">랜덤</t>
    </r>
    <r>
      <rPr>
        <sz val="9"/>
        <rFont val="맑은 고딕"/>
        <family val="0"/>
        <charset val="1"/>
      </rPr>
      <t xml:space="preserve">)</t>
    </r>
  </si>
  <si>
    <t xml:space="preserve">Category D</t>
  </si>
  <si>
    <r>
      <rPr>
        <sz val="9"/>
        <rFont val="맑은 고딕"/>
        <family val="0"/>
        <charset val="1"/>
      </rPr>
      <t xml:space="preserve">[R12] B31.3 341.4.2 (</t>
    </r>
    <r>
      <rPr>
        <sz val="9"/>
        <rFont val="Noto Sans CJK SC"/>
        <family val="2"/>
      </rPr>
      <t xml:space="preserve">육안검사</t>
    </r>
    <r>
      <rPr>
        <sz val="9"/>
        <rFont val="맑은 고딕"/>
        <family val="0"/>
        <charset val="1"/>
      </rPr>
      <t xml:space="preserve">)</t>
    </r>
  </si>
  <si>
    <t xml:space="preserve">Severe cyclic</t>
  </si>
  <si>
    <r>
      <rPr>
        <sz val="9"/>
        <rFont val="맑은 고딕"/>
        <family val="0"/>
        <charset val="1"/>
      </rPr>
      <t xml:space="preserve">[R12] B31.3 </t>
    </r>
    <r>
      <rPr>
        <sz val="9"/>
        <rFont val="Noto Sans CJK SC"/>
        <family val="2"/>
      </rPr>
      <t xml:space="preserve">맞대기 </t>
    </r>
    <r>
      <rPr>
        <sz val="9"/>
        <rFont val="맑은 고딕"/>
        <family val="0"/>
        <charset val="1"/>
      </rPr>
      <t xml:space="preserve">100% </t>
    </r>
    <r>
      <rPr>
        <sz val="9"/>
        <rFont val="Noto Sans CJK SC"/>
        <family val="2"/>
      </rPr>
      <t xml:space="preserve">체적검사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</t>
    </r>
  </si>
  <si>
    <t xml:space="preserve">※ 재질·두께·현장 계수는 예시값(출처 없음, D). RT 비율은 코드 최소값이며 발주처 사양이 상향 요구할 수 있음(라인별 '발주처 RT 비율'에 입력)</t>
  </si>
  <si>
    <t xml:space="preserve">MH/DI</t>
  </si>
  <si>
    <t xml:space="preserve">배관 체크리스트 계산 예시와 연동 (예시값, D)</t>
  </si>
  <si>
    <t xml:space="preserve">노임 단가</t>
  </si>
  <si>
    <t xml:space="preserve">KRW/MH</t>
  </si>
  <si>
    <r>
      <rPr>
        <b val="true"/>
        <sz val="12"/>
        <rFont val="맑은 고딕"/>
        <family val="0"/>
        <charset val="1"/>
      </rPr>
      <t xml:space="preserve">2. </t>
    </r>
    <r>
      <rPr>
        <b val="true"/>
        <sz val="12"/>
        <rFont val="Noto Sans CJK SC"/>
        <family val="2"/>
      </rPr>
      <t xml:space="preserve">라인 그룹별 물량</t>
    </r>
  </si>
  <si>
    <t xml:space="preserve">라인 그룹</t>
  </si>
  <si>
    <t xml:space="preserve">Dia-Inch</t>
  </si>
  <si>
    <t xml:space="preserve">맞대기 용접 수</t>
  </si>
  <si>
    <t xml:space="preserve">PWHT</t>
  </si>
  <si>
    <t xml:space="preserve">자재 단가 (KRW/DI)</t>
  </si>
  <si>
    <t xml:space="preserve">재질계수</t>
  </si>
  <si>
    <t xml:space="preserve">두께계수</t>
  </si>
  <si>
    <t xml:space="preserve">현장계수</t>
  </si>
  <si>
    <t xml:space="preserve">공수 (MH)</t>
  </si>
  <si>
    <t xml:space="preserve">노무비 (KRW)</t>
  </si>
  <si>
    <t xml:space="preserve">자재비 (KRW)</t>
  </si>
  <si>
    <t xml:space="preserve">발주처 RT 비율</t>
  </si>
  <si>
    <t xml:space="preserve">적용 RT 비율</t>
  </si>
  <si>
    <r>
      <rPr>
        <b val="true"/>
        <sz val="10"/>
        <color rgb="FFFFFFFF"/>
        <rFont val="맑은 고딕"/>
        <family val="0"/>
        <charset val="1"/>
      </rPr>
      <t xml:space="preserve">RT </t>
    </r>
    <r>
      <rPr>
        <b val="true"/>
        <sz val="10"/>
        <color rgb="FFFFFFFF"/>
        <rFont val="Noto Sans CJK SC"/>
        <family val="2"/>
      </rPr>
      <t xml:space="preserve">대상 조인트</t>
    </r>
  </si>
  <si>
    <t xml:space="preserve">공정 배관 (일반)</t>
  </si>
  <si>
    <r>
      <rPr>
        <sz val="10"/>
        <color rgb="FF0000FF"/>
        <rFont val="맑은 고딕"/>
        <family val="0"/>
        <charset val="1"/>
      </rPr>
      <t xml:space="preserve">Sch.40 </t>
    </r>
    <r>
      <rPr>
        <sz val="10"/>
        <color rgb="FF0000FF"/>
        <rFont val="Noto Sans CJK SC"/>
        <family val="2"/>
      </rPr>
      <t xml:space="preserve">이하</t>
    </r>
  </si>
  <si>
    <t xml:space="preserve">저온 배관</t>
  </si>
  <si>
    <r>
      <rPr>
        <sz val="10"/>
        <rFont val="맑은 고딕"/>
        <family val="0"/>
        <charset val="1"/>
      </rPr>
      <t xml:space="preserve">SS </t>
    </r>
    <r>
      <rPr>
        <sz val="10"/>
        <rFont val="Noto Sans CJK SC"/>
        <family val="2"/>
      </rPr>
      <t xml:space="preserve">배관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부식 서비스</t>
    </r>
    <r>
      <rPr>
        <sz val="10"/>
        <rFont val="맑은 고딕"/>
        <family val="0"/>
        <charset val="1"/>
      </rPr>
      <t xml:space="preserve">)</t>
    </r>
  </si>
  <si>
    <t xml:space="preserve">고온 배관</t>
  </si>
  <si>
    <t xml:space="preserve">Y</t>
  </si>
  <si>
    <t xml:space="preserve">압축기 토출 배관</t>
  </si>
  <si>
    <r>
      <rPr>
        <sz val="10"/>
        <color rgb="FF0000FF"/>
        <rFont val="맑은 고딕"/>
        <family val="0"/>
        <charset val="1"/>
      </rPr>
      <t xml:space="preserve">Sch.160 / XXS (</t>
    </r>
    <r>
      <rPr>
        <sz val="10"/>
        <color rgb="FF0000FF"/>
        <rFont val="Noto Sans CJK SC"/>
        <family val="2"/>
      </rPr>
      <t xml:space="preserve">후육관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</si>
  <si>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Tie-in (</t>
    </r>
    <r>
      <rPr>
        <sz val="10"/>
        <rFont val="Noto Sans CJK SC"/>
        <family val="2"/>
      </rPr>
      <t xml:space="preserve">운전 중 연결</t>
    </r>
    <r>
      <rPr>
        <sz val="10"/>
        <rFont val="맑은 고딕"/>
        <family val="0"/>
        <charset val="1"/>
      </rPr>
      <t xml:space="preserve">)</t>
    </r>
  </si>
  <si>
    <t xml:space="preserve">합계</t>
  </si>
  <si>
    <r>
      <rPr>
        <b val="true"/>
        <sz val="12"/>
        <rFont val="맑은 고딕"/>
        <family val="0"/>
        <charset val="1"/>
      </rPr>
      <t xml:space="preserve">3. </t>
    </r>
    <r>
      <rPr>
        <b val="true"/>
        <sz val="12"/>
        <rFont val="Noto Sans CJK SC"/>
        <family val="2"/>
      </rPr>
      <t xml:space="preserve">배관 공사 견적 집계</t>
    </r>
  </si>
  <si>
    <t xml:space="preserve">배관 제작·설치 노무비</t>
  </si>
  <si>
    <t xml:space="preserve">라인 그룹 표 노무비 합계</t>
  </si>
  <si>
    <r>
      <rPr>
        <sz val="9"/>
        <rFont val="맑은 고딕"/>
        <family val="0"/>
        <charset val="1"/>
      </rPr>
      <t xml:space="preserve">Dia-Inch </t>
    </r>
    <r>
      <rPr>
        <sz val="9"/>
        <rFont val="Noto Sans CJK SC"/>
        <family val="2"/>
      </rPr>
      <t xml:space="preserve">단가 보정</t>
    </r>
  </si>
  <si>
    <t xml:space="preserve">공수 예시값 (참고서 [R30] Page, 수치 미인용)</t>
  </si>
  <si>
    <t xml:space="preserve">배관 자재비</t>
  </si>
  <si>
    <t xml:space="preserve">라인 그룹 표 자재비 합계</t>
  </si>
  <si>
    <r>
      <rPr>
        <b val="true"/>
        <sz val="10"/>
        <rFont val="맑은 고딕"/>
        <family val="0"/>
        <charset val="1"/>
      </rPr>
      <t xml:space="preserve">MTO </t>
    </r>
    <r>
      <rPr>
        <b val="true"/>
        <sz val="10"/>
        <rFont val="Noto Sans CJK SC"/>
        <family val="2"/>
      </rPr>
      <t xml:space="preserve">물량 할증</t>
    </r>
  </si>
  <si>
    <t xml:space="preserve">자재비 × 10%</t>
  </si>
  <si>
    <r>
      <rPr>
        <sz val="9"/>
        <rFont val="맑은 고딕"/>
        <family val="0"/>
        <charset val="1"/>
      </rPr>
      <t xml:space="preserve">MTO </t>
    </r>
    <r>
      <rPr>
        <sz val="9"/>
        <rFont val="Noto Sans CJK SC"/>
        <family val="2"/>
      </rPr>
      <t xml:space="preserve">정확도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할증률</t>
    </r>
  </si>
  <si>
    <t xml:space="preserve">실무 예시값 (FEED 수준 연동: [R29] AACE 18R-97)</t>
  </si>
  <si>
    <r>
      <rPr>
        <b val="true"/>
        <sz val="10"/>
        <rFont val="맑은 고딕"/>
        <family val="0"/>
        <charset val="1"/>
      </rPr>
      <t xml:space="preserve">RT / UT </t>
    </r>
    <r>
      <rPr>
        <b val="true"/>
        <sz val="10"/>
        <rFont val="Noto Sans CJK SC"/>
        <family val="2"/>
      </rPr>
      <t xml:space="preserve">검사</t>
    </r>
  </si>
  <si>
    <r>
      <rPr>
        <sz val="9"/>
        <rFont val="맑은 고딕"/>
        <family val="0"/>
        <charset val="1"/>
      </rPr>
      <t xml:space="preserve">RT </t>
    </r>
    <r>
      <rPr>
        <sz val="9"/>
        <rFont val="Noto Sans CJK SC"/>
        <family val="2"/>
      </rPr>
      <t xml:space="preserve">대상 조인트 수</t>
    </r>
  </si>
  <si>
    <t xml:space="preserve">조인트</t>
  </si>
  <si>
    <r>
      <rPr>
        <sz val="9"/>
        <rFont val="맑은 고딕"/>
        <family val="0"/>
        <charset val="1"/>
      </rPr>
      <t xml:space="preserve">[R12] ASME B31.3 341.4.1 / M341.4 / Severe cyclic 100% — </t>
    </r>
    <r>
      <rPr>
        <sz val="9"/>
        <rFont val="Noto Sans CJK SC"/>
        <family val="2"/>
      </rPr>
      <t xml:space="preserve">단가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</si>
  <si>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r>
      <rPr>
        <sz val="9"/>
        <rFont val="맑은 고딕"/>
        <family val="0"/>
        <charset val="1"/>
      </rPr>
      <t xml:space="preserve">PWHT=Y </t>
    </r>
    <r>
      <rPr>
        <sz val="9"/>
        <rFont val="Noto Sans CJK SC"/>
        <family val="2"/>
      </rPr>
      <t xml:space="preserve">그룹 용접 수</t>
    </r>
  </si>
  <si>
    <r>
      <rPr>
        <sz val="9"/>
        <rFont val="맑은 고딕"/>
        <family val="0"/>
        <charset val="1"/>
      </rPr>
      <t xml:space="preserve">[R12] ASME B31.3 Table 331.1.1 — </t>
    </r>
    <r>
      <rPr>
        <sz val="9"/>
        <rFont val="Noto Sans CJK SC"/>
        <family val="2"/>
      </rPr>
      <t xml:space="preserve">단가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</si>
  <si>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경도시험 (PWHT 조인트)</t>
  </si>
  <si>
    <r>
      <rPr>
        <sz val="9"/>
        <rFont val="맑은 고딕"/>
        <family val="0"/>
        <charset val="1"/>
      </rPr>
      <t xml:space="preserve">PWHT </t>
    </r>
    <r>
      <rPr>
        <sz val="9"/>
        <rFont val="Noto Sans CJK SC"/>
        <family val="2"/>
      </rPr>
      <t xml:space="preserve">조인트 수</t>
    </r>
  </si>
  <si>
    <r>
      <rPr>
        <sz val="9"/>
        <rFont val="맑은 고딕"/>
        <family val="0"/>
        <charset val="1"/>
      </rPr>
      <t xml:space="preserve">B31.3 331.1.7 </t>
    </r>
    <r>
      <rPr>
        <sz val="9"/>
        <rFont val="Noto Sans CJK SC"/>
        <family val="2"/>
      </rPr>
      <t xml:space="preserve">삭제</t>
    </r>
    <r>
      <rPr>
        <sz val="9"/>
        <rFont val="맑은 고딕"/>
        <family val="0"/>
        <charset val="1"/>
      </rPr>
      <t xml:space="preserve">(2014</t>
    </r>
    <r>
      <rPr>
        <sz val="9"/>
        <rFont val="Noto Sans CJK SC"/>
        <family val="2"/>
      </rPr>
      <t xml:space="preserve">판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프로젝트 사양 </t>
    </r>
    <r>
      <rPr>
        <sz val="9"/>
        <rFont val="맑은 고딕"/>
        <family val="0"/>
        <charset val="1"/>
      </rPr>
      <t xml:space="preserve">/ [R13][R14] NACE</t>
    </r>
  </si>
  <si>
    <r>
      <rPr>
        <b val="true"/>
        <sz val="10"/>
        <rFont val="맑은 고딕"/>
        <family val="0"/>
        <charset val="1"/>
      </rPr>
      <t xml:space="preserve">PMI (SS·</t>
    </r>
    <r>
      <rPr>
        <b val="true"/>
        <sz val="10"/>
        <rFont val="Noto Sans CJK SC"/>
        <family val="2"/>
      </rPr>
      <t xml:space="preserve">합금 조인트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</si>
  <si>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SS·Cr-Mo·Duplex </t>
    </r>
    <r>
      <rPr>
        <sz val="9"/>
        <rFont val="Noto Sans CJK SC"/>
        <family val="2"/>
      </rPr>
      <t xml:space="preserve">그룹 용접 수</t>
    </r>
  </si>
  <si>
    <t xml:space="preserve">발주처 사양 (공개 출처 없음) — 단가 샘플 단가 (출처 없음) — 자사 실적·벤더 견적으로 교체</t>
  </si>
  <si>
    <t xml:space="preserve">수압시험 (Test Package)</t>
  </si>
  <si>
    <r>
      <rPr>
        <sz val="9"/>
        <rFont val="맑은 고딕"/>
        <family val="0"/>
        <charset val="1"/>
      </rPr>
      <t xml:space="preserve">Test Package </t>
    </r>
    <r>
      <rPr>
        <sz val="9"/>
        <rFont val="Noto Sans CJK SC"/>
        <family val="2"/>
      </rPr>
      <t xml:space="preserve">수</t>
    </r>
  </si>
  <si>
    <t xml:space="preserve">Pkg</t>
  </si>
  <si>
    <r>
      <rPr>
        <sz val="9"/>
        <rFont val="맑은 고딕"/>
        <family val="0"/>
        <charset val="1"/>
      </rPr>
      <t xml:space="preserve">[R12] ASME B31.3 345.4.2 (1.5×P×St/S) — </t>
    </r>
    <r>
      <rPr>
        <sz val="9"/>
        <rFont val="Noto Sans CJK SC"/>
        <family val="2"/>
      </rPr>
      <t xml:space="preserve">단가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</si>
  <si>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r>
      <rPr>
        <b val="true"/>
        <sz val="10"/>
        <rFont val="맑은 고딕"/>
        <family val="0"/>
        <charset val="1"/>
      </rPr>
      <t xml:space="preserve">SS </t>
    </r>
    <r>
      <rPr>
        <b val="true"/>
        <sz val="10"/>
        <rFont val="Noto Sans CJK SC"/>
        <family val="2"/>
      </rPr>
      <t xml:space="preserve">배관 저염소 시험수</t>
    </r>
  </si>
  <si>
    <t xml:space="preserve">시험수량</t>
  </si>
  <si>
    <r>
      <rPr>
        <sz val="9"/>
        <rFont val="맑은 고딕"/>
        <family val="0"/>
        <charset val="1"/>
      </rPr>
      <t xml:space="preserve">[R31] ASME PCC-2 (</t>
    </r>
    <r>
      <rPr>
        <sz val="9"/>
        <rFont val="Noto Sans CJK SC"/>
        <family val="2"/>
      </rPr>
      <t xml:space="preserve">염화물 </t>
    </r>
    <r>
      <rPr>
        <sz val="9"/>
        <rFont val="맑은 고딕"/>
        <family val="0"/>
        <charset val="1"/>
      </rPr>
      <t xml:space="preserve">50 ppm </t>
    </r>
    <r>
      <rPr>
        <sz val="9"/>
        <rFont val="Noto Sans CJK SC"/>
        <family val="2"/>
      </rPr>
      <t xml:space="preserve">미만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단가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</si>
  <si>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비계</t>
  </si>
  <si>
    <t xml:space="preserve">노무비 × 15%</t>
  </si>
  <si>
    <t xml:space="preserve">배관 서포트 (일반·특수)</t>
  </si>
  <si>
    <t xml:space="preserve">서포트 중량</t>
  </si>
  <si>
    <r>
      <rPr>
        <b val="true"/>
        <sz val="10"/>
        <rFont val="맑은 고딕"/>
        <family val="0"/>
        <charset val="1"/>
      </rPr>
      <t xml:space="preserve">Flushing · Blowing · </t>
    </r>
    <r>
      <rPr>
        <b val="true"/>
        <sz val="10"/>
        <rFont val="Noto Sans CJK SC"/>
        <family val="2"/>
      </rPr>
      <t xml:space="preserve">화학세정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</si>
  <si>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식</t>
    </r>
  </si>
  <si>
    <r>
      <rPr>
        <sz val="9"/>
        <rFont val="맑은 고딕"/>
        <family val="0"/>
        <charset val="1"/>
      </rPr>
      <t xml:space="preserve">Flushing / </t>
    </r>
    <r>
      <rPr>
        <sz val="9"/>
        <rFont val="Noto Sans CJK SC"/>
        <family val="2"/>
      </rPr>
      <t xml:space="preserve">화학 세정</t>
    </r>
  </si>
  <si>
    <r>
      <rPr>
        <b val="true"/>
        <sz val="10"/>
        <rFont val="맑은 고딕"/>
        <family val="0"/>
        <charset val="1"/>
      </rPr>
      <t xml:space="preserve">Hot Tap (</t>
    </r>
    <r>
      <rPr>
        <b val="true"/>
        <sz val="10"/>
        <rFont val="Noto Sans CJK SC"/>
        <family val="2"/>
      </rPr>
      <t xml:space="preserve">운전 중 </t>
    </r>
    <r>
      <rPr>
        <b val="true"/>
        <sz val="10"/>
        <rFont val="맑은 고딕"/>
        <family val="0"/>
        <charset val="1"/>
      </rPr>
      <t xml:space="preserve">Tie-in)</t>
    </r>
  </si>
  <si>
    <r>
      <rPr>
        <sz val="9"/>
        <rFont val="맑은 고딕"/>
        <family val="0"/>
        <charset val="1"/>
      </rPr>
      <t xml:space="preserve">Hot Tap </t>
    </r>
    <r>
      <rPr>
        <sz val="9"/>
        <rFont val="Noto Sans CJK SC"/>
        <family val="2"/>
      </rPr>
      <t xml:space="preserve">개소</t>
    </r>
  </si>
  <si>
    <t xml:space="preserve">개소</t>
  </si>
  <si>
    <r>
      <rPr>
        <sz val="9"/>
        <rFont val="맑은 고딕"/>
        <family val="0"/>
        <charset val="1"/>
      </rPr>
      <t xml:space="preserve">Tie-in </t>
    </r>
    <r>
      <rPr>
        <sz val="9"/>
        <rFont val="Noto Sans CJK SC"/>
        <family val="2"/>
      </rPr>
      <t xml:space="preserve">방식</t>
    </r>
  </si>
  <si>
    <r>
      <rPr>
        <sz val="9"/>
        <rFont val="맑은 고딕"/>
        <family val="0"/>
        <charset val="1"/>
      </rPr>
      <t xml:space="preserve">[R22] API RP 2201 — </t>
    </r>
    <r>
      <rPr>
        <sz val="9"/>
        <rFont val="Noto Sans CJK SC"/>
        <family val="2"/>
      </rPr>
      <t xml:space="preserve">단가 샘플 단가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출처 없음</t>
    </r>
    <r>
      <rPr>
        <sz val="9"/>
        <rFont val="맑은 고딕"/>
        <family val="0"/>
        <charset val="1"/>
      </rPr>
      <t xml:space="preserve">) — </t>
    </r>
    <r>
      <rPr>
        <sz val="9"/>
        <rFont val="Noto Sans CJK SC"/>
        <family val="2"/>
      </rPr>
      <t xml:space="preserve">자사 실적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벤더 견적으로 교체</t>
    </r>
  </si>
  <si>
    <t xml:space="preserve">배관 공사 합계 (직접비)</t>
  </si>
  <si>
    <r>
      <rPr>
        <sz val="9"/>
        <color rgb="FF666666"/>
        <rFont val="맑은 고딕"/>
        <family val="0"/>
        <charset val="1"/>
      </rPr>
      <t xml:space="preserve">※ 'C_</t>
    </r>
    <r>
      <rPr>
        <sz val="9"/>
        <color rgb="FF666666"/>
        <rFont val="Noto Sans CJK SC"/>
        <family val="2"/>
      </rPr>
      <t xml:space="preserve">시공</t>
    </r>
    <r>
      <rPr>
        <sz val="9"/>
        <color rgb="FF666666"/>
        <rFont val="맑은 고딕"/>
        <family val="0"/>
        <charset val="1"/>
      </rPr>
      <t xml:space="preserve">' </t>
    </r>
    <r>
      <rPr>
        <sz val="9"/>
        <color rgb="FF666666"/>
        <rFont val="Noto Sans CJK SC"/>
        <family val="2"/>
      </rPr>
      <t xml:space="preserve">시트의 배관 항목</t>
    </r>
    <r>
      <rPr>
        <sz val="9"/>
        <color rgb="FF666666"/>
        <rFont val="맑은 고딕"/>
        <family val="0"/>
        <charset val="1"/>
      </rPr>
      <t xml:space="preserve">(Dia-Inch </t>
    </r>
    <r>
      <rPr>
        <sz val="9"/>
        <color rgb="FF666666"/>
        <rFont val="Noto Sans CJK SC"/>
        <family val="2"/>
      </rPr>
      <t xml:space="preserve">단가 방식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Noto Sans CJK SC"/>
        <family val="2"/>
      </rPr>
      <t xml:space="preserve">과 비교</t>
    </r>
    <r>
      <rPr>
        <sz val="9"/>
        <color rgb="FF666666"/>
        <rFont val="맑은 고딕"/>
        <family val="0"/>
        <charset val="1"/>
      </rPr>
      <t xml:space="preserve">·</t>
    </r>
    <r>
      <rPr>
        <sz val="9"/>
        <color rgb="FF666666"/>
        <rFont val="Noto Sans CJK SC"/>
        <family val="2"/>
      </rPr>
      <t xml:space="preserve">검증용 상세 예시입니다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</si>
  <si>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Dia-Inch</t>
    </r>
    <r>
      <rPr>
        <b val="true"/>
        <sz val="10"/>
        <rFont val="Noto Sans CJK SC"/>
        <family val="2"/>
      </rPr>
      <t xml:space="preserve">당 평균 단가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검토용</t>
    </r>
    <r>
      <rPr>
        <b val="true"/>
        <sz val="10"/>
        <rFont val="맑은 고딕"/>
        <family val="0"/>
        <charset val="1"/>
      </rPr>
      <t xml:space="preserve">)</t>
    </r>
  </si>
  <si>
    <t xml:space="preserve">참고문헌 · 출처 목록</t>
  </si>
  <si>
    <r>
      <rPr>
        <i val="true"/>
        <sz val="9"/>
        <color rgb="FF666666"/>
        <rFont val="맑은 고딕"/>
        <family val="0"/>
        <charset val="1"/>
      </rPr>
      <t xml:space="preserve">2026-10-16 </t>
    </r>
    <r>
      <rPr>
        <i val="true"/>
        <sz val="9"/>
        <color rgb="FF666666"/>
        <rFont val="Noto Sans CJK SC"/>
        <family val="2"/>
      </rPr>
      <t xml:space="preserve">기준 확인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유료 규격</t>
    </r>
    <r>
      <rPr>
        <i val="true"/>
        <sz val="9"/>
        <color rgb="FF666666"/>
        <rFont val="맑은 고딕"/>
        <family val="0"/>
        <charset val="1"/>
      </rPr>
      <t xml:space="preserve">(API·ASME)</t>
    </r>
    <r>
      <rPr>
        <i val="true"/>
        <sz val="9"/>
        <color rgb="FF666666"/>
        <rFont val="Noto Sans CJK SC"/>
        <family val="2"/>
      </rPr>
      <t xml:space="preserve">은 원문을 열람하지 못한 경우가 많아 </t>
    </r>
    <r>
      <rPr>
        <i val="true"/>
        <sz val="9"/>
        <color rgb="FF666666"/>
        <rFont val="맑은 고딕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차 자료로 조항을 확인했습니다 — 입찰 제출 전 최신 원문과 대조하세요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</si>
  <si>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발행처·판매처·법령 원문에서 판/내용 확인</t>
  </si>
  <si>
    <t xml:space="preserve">해설·포럼·기사 등 2차 자료로 확인 — 입찰 전 원문 대조 권장</t>
  </si>
  <si>
    <t xml:space="preserve">조항 번호·명칭 미확인 — 반드시 원문 확인 필요</t>
  </si>
  <si>
    <t xml:space="preserve">업계 실무 관행 / 발주처 문서 확인 대상 — 특정 공개 출처 없음</t>
  </si>
  <si>
    <t xml:space="preserve">ID</t>
  </si>
  <si>
    <t xml:space="preserve">문서명 · 조항 · 내용</t>
  </si>
  <si>
    <t xml:space="preserve">판 / 상태 (2026-10 기준)</t>
  </si>
  <si>
    <t xml:space="preserve">확인 수준</t>
  </si>
  <si>
    <r>
      <rPr>
        <b val="true"/>
        <sz val="10"/>
        <color rgb="FFFFFFFF"/>
        <rFont val="맑은 고딕"/>
        <family val="0"/>
        <charset val="1"/>
      </rPr>
      <t xml:space="preserve">URL (</t>
    </r>
    <r>
      <rPr>
        <b val="true"/>
        <sz val="10"/>
        <color rgb="FFFFFFFF"/>
        <rFont val="Noto Sans CJK SC"/>
        <family val="2"/>
      </rPr>
      <t xml:space="preserve">확인한 자료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</si>
  <si>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R01</t>
  </si>
  <si>
    <t xml:space="preserve">국내 법령</t>
  </si>
  <si>
    <t xml:space="preserve">위험물안전관리법 제8조(탱크안전성능검사)·제9조(완공검사), 시행령 제8조(검사 대상: 기초·지반/용접부 100만L 이상 옥외탱크, 충수·수압 전 액체위험물탱크)·제9조·제22조(한국소방산업기술원 위탁)</t>
  </si>
  <si>
    <t xml:space="preserve">법률 제20231호, 2025.8.7 시행</t>
  </si>
  <si>
    <t xml:space="preserve">https://www.taxcanvas.kr/core/law/0097072025080535696/history/2025-08-07</t>
  </si>
  <si>
    <t xml:space="preserve">법령 미러로 확인. law.go.kr 원문 대조 권장. 별표4 본문 미확인</t>
  </si>
  <si>
    <t xml:space="preserve">R02</t>
  </si>
  <si>
    <t xml:space="preserve">위험물안전관리법 시행규칙 별표6 옥외탱크저장소 기준(제30조 관련): 방유제 용량 110%(최대 탱크 기준), 높이 0.5~3m, 보유공지</t>
  </si>
  <si>
    <t xml:space="preserve">별표6 2021.7.13 개정</t>
  </si>
  <si>
    <t xml:space="preserve">https://www.kfsi.or.kr/contents/webzine/202003/sub02-01.html</t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</si>
  <si>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차 자료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소방안전 웹진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목 번호 미확인</t>
    </r>
  </si>
  <si>
    <t xml:space="preserve">R03</t>
  </si>
  <si>
    <t xml:space="preserve">화학물질관리법 제23조(화학사고예방관리계획서), 제24조(취급시설 배치·설치 및 관리 기준)</t>
  </si>
  <si>
    <t xml:space="preserve">법률 제20231호; 2021.4.1 장외영향평가·위해관리계획서 → 화학사고예방관리계획서 통합</t>
  </si>
  <si>
    <t xml:space="preserve">https://elaw.klri.re.kr/kor_service/lawViewTitle.do?hseq=64986</t>
  </si>
  <si>
    <t xml:space="preserve">통합 경위: https://www.shinkim.com/kor/media/newsletter/1475 . 2024~25 개정의 취급시설 기준 변경 여부 미확인</t>
  </si>
  <si>
    <t xml:space="preserve">R04</t>
  </si>
  <si>
    <t xml:space="preserve">산업안전보건법 제44조(공정안전보고서), 시행령 제43조(PSM 제출 대상: 원유정제, 석유화학계 기초화학물질 등 7개 업종), 시행규칙 제51조(착공 30일 전 제출)</t>
  </si>
  <si>
    <t xml:space="preserve">시행규칙 고용노동부령 제477호(2026.8.1 시행)</t>
  </si>
  <si>
    <t xml:space="preserve">https://www.esafetykorea.or.kr</t>
  </si>
  <si>
    <t xml:space="preserve">안전보건 정보 사이트 게시 법령 PDF로 확인</t>
  </si>
  <si>
    <t xml:space="preserve">R05</t>
  </si>
  <si>
    <t xml:space="preserve">국내 고시</t>
  </si>
  <si>
    <t xml:space="preserve">고용노동부고시 제2025-11호 「건설업 산업안전보건관리비 계상 및 사용기준」 별표1 요율(50억 이상: 건축 2.37%, 토목 2.60%, 중건설 3.11%, 특수건설 1.64%)</t>
  </si>
  <si>
    <r>
      <rPr>
        <sz val="9"/>
        <rFont val="맑은 고딕"/>
        <family val="0"/>
        <charset val="1"/>
      </rPr>
      <t xml:space="preserve">2025.1.1 </t>
    </r>
    <r>
      <rPr>
        <sz val="9"/>
        <rFont val="Noto Sans CJK SC"/>
        <family val="2"/>
      </rPr>
      <t xml:space="preserve">이후 계약 공사부터 적용</t>
    </r>
  </si>
  <si>
    <t xml:space="preserve">https://www.koscaj.com/news/articleView.html?idxno=311178</t>
  </si>
  <si>
    <t xml:space="preserve">공사종류는 고시 기준에 따라 판정 필요</t>
  </si>
  <si>
    <t xml:space="preserve">R06</t>
  </si>
  <si>
    <t xml:space="preserve">국가계약법 시행규칙 제75조(지체상금률: 공사 일 0.5/1000), 시행령 제74조제3항(지체상금 상한 30%), 시행령 제50조(계약보증금: 공사 10%, 2026.5 개정 15%→10%), 시행령 제62조·시행규칙 제72조(하자보수보증금 2~10%, 일반건축 등 3%)</t>
  </si>
  <si>
    <r>
      <rPr>
        <sz val="9"/>
        <rFont val="맑은 고딕"/>
        <family val="0"/>
        <charset val="1"/>
      </rPr>
      <t xml:space="preserve">2026.5 </t>
    </r>
    <r>
      <rPr>
        <sz val="9"/>
        <rFont val="Noto Sans CJK SC"/>
        <family val="2"/>
      </rPr>
      <t xml:space="preserve">시행령 개정 반영</t>
    </r>
  </si>
  <si>
    <t xml:space="preserve">https://www.lawtalk.co.kr/posts/165966</t>
  </si>
  <si>
    <t xml:space="preserve">계약보증금 개정: https://www.newspim.com/news/view/20260506000359 . 공공계약 기준이며 민간 EPC는 계약서 우선</t>
  </si>
  <si>
    <t xml:space="preserve">R07</t>
  </si>
  <si>
    <t xml:space="preserve">고압가스 안전관리법 제16조(중간검사·완성검사), 제16조의2(정기·수시검사)</t>
  </si>
  <si>
    <t xml:space="preserve">법률 제21438호(2026.3.10 타법개정)</t>
  </si>
  <si>
    <t xml:space="preserve">https://www.nepla.ai/law/고압가스안전관리법</t>
  </si>
  <si>
    <t xml:space="preserve">R08</t>
  </si>
  <si>
    <t xml:space="preserve">대기환경보전법 시행규칙 별표16 VOC 배출 억제·방지시설 기준 1호 나목(저장시설): 내부부상지붕 Seal 형식, 외부부상지붕 이중 밀폐장치</t>
  </si>
  <si>
    <r>
      <rPr>
        <sz val="9"/>
        <rFont val="맑은 고딕"/>
        <family val="0"/>
        <charset val="1"/>
      </rPr>
      <t xml:space="preserve">2020</t>
    </r>
    <r>
      <rPr>
        <sz val="9"/>
        <rFont val="Noto Sans CJK SC"/>
        <family val="2"/>
      </rPr>
      <t xml:space="preserve">년경 자료 기준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최신 개정 미확인</t>
    </r>
  </si>
  <si>
    <t xml:space="preserve">https://tour.gunsan.go.kr/_cms/board/eFileDownload/111/941653/72ce799e30239c962e6616e382d24dea</t>
  </si>
  <si>
    <t xml:space="preserve">지자체 첨부 문서로 확인</t>
  </si>
  <si>
    <t xml:space="preserve">R09</t>
  </si>
  <si>
    <t xml:space="preserve">국내 지침</t>
  </si>
  <si>
    <r>
      <rPr>
        <sz val="9"/>
        <rFont val="맑은 고딕"/>
        <family val="0"/>
        <charset val="1"/>
      </rPr>
      <t xml:space="preserve">KOSHA GUIDE P-94-2019 </t>
    </r>
    <r>
      <rPr>
        <sz val="9"/>
        <rFont val="Noto Sans CJK SC"/>
        <family val="2"/>
      </rPr>
      <t xml:space="preserve">안전작업허가지침</t>
    </r>
  </si>
  <si>
    <r>
      <rPr>
        <sz val="9"/>
        <rFont val="맑은 고딕"/>
        <family val="0"/>
        <charset val="1"/>
      </rPr>
      <t xml:space="preserve">2019</t>
    </r>
    <r>
      <rPr>
        <sz val="9"/>
        <rFont val="Noto Sans CJK SC"/>
        <family val="2"/>
      </rPr>
      <t xml:space="preserve">판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이후 개정 여부 미확인</t>
    </r>
    <r>
      <rPr>
        <sz val="9"/>
        <rFont val="맑은 고딕"/>
        <family val="0"/>
        <charset val="1"/>
      </rPr>
      <t xml:space="preserve">)</t>
    </r>
  </si>
  <si>
    <t xml:space="preserve">https://hseworld.co.kr/36</t>
  </si>
  <si>
    <r>
      <rPr>
        <sz val="9"/>
        <rFont val="맑은 고딕"/>
        <family val="0"/>
        <charset val="1"/>
      </rPr>
      <t xml:space="preserve">kosha.or.kr</t>
    </r>
    <r>
      <rPr>
        <sz val="9"/>
        <rFont val="Noto Sans CJK SC"/>
        <family val="2"/>
      </rPr>
      <t xml:space="preserve">에서 최신판 확인 필요</t>
    </r>
  </si>
  <si>
    <t xml:space="preserve">R10</t>
  </si>
  <si>
    <t xml:space="preserve">국내 기준</t>
  </si>
  <si>
    <r>
      <rPr>
        <sz val="9"/>
        <rFont val="맑은 고딕"/>
        <family val="0"/>
        <charset val="1"/>
      </rPr>
      <t xml:space="preserve">KDS 41 17 00 </t>
    </r>
    <r>
      <rPr>
        <sz val="9"/>
        <rFont val="Noto Sans CJK SC"/>
        <family val="2"/>
      </rPr>
      <t xml:space="preserve">건축물 내진설계기준 </t>
    </r>
    <r>
      <rPr>
        <sz val="9"/>
        <rFont val="맑은 고딕"/>
        <family val="0"/>
        <charset val="1"/>
      </rPr>
      <t xml:space="preserve">19.6</t>
    </r>
    <r>
      <rPr>
        <sz val="9"/>
        <rFont val="Noto Sans CJK SC"/>
        <family val="2"/>
      </rPr>
      <t xml:space="preserve">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탱크 및 저장용기</t>
    </r>
    <r>
      <rPr>
        <sz val="9"/>
        <rFont val="맑은 고딕"/>
        <family val="0"/>
        <charset val="1"/>
      </rPr>
      <t xml:space="preserve">)</t>
    </r>
  </si>
  <si>
    <t xml:space="preserve">KDS 41 17 00:2022</t>
  </si>
  <si>
    <t xml:space="preserve">https://www.kim2kie.com/res/html/0_formula/00%20Dynamics/KDS%2041/KDS%2041%2017%2000.pdf</t>
  </si>
  <si>
    <r>
      <rPr>
        <sz val="9"/>
        <rFont val="맑은 고딕"/>
        <family val="0"/>
        <charset val="1"/>
      </rPr>
      <t xml:space="preserve">2022 </t>
    </r>
    <r>
      <rPr>
        <sz val="9"/>
        <rFont val="Noto Sans CJK SC"/>
        <family val="2"/>
      </rPr>
      <t xml:space="preserve">이후 개정 미확인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소방청 위험물 세부기준 내진 조항 미확인</t>
    </r>
  </si>
  <si>
    <t xml:space="preserve">R11</t>
  </si>
  <si>
    <r>
      <rPr>
        <sz val="9"/>
        <rFont val="맑은 고딕"/>
        <family val="0"/>
        <charset val="1"/>
      </rPr>
      <t xml:space="preserve">KGS Code: AC111(</t>
    </r>
    <r>
      <rPr>
        <sz val="9"/>
        <rFont val="Noto Sans CJK SC"/>
        <family val="2"/>
      </rPr>
      <t xml:space="preserve">저장탱크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압력용기 제조 관련</t>
    </r>
    <r>
      <rPr>
        <sz val="9"/>
        <rFont val="맑은 고딕"/>
        <family val="0"/>
        <charset val="1"/>
      </rPr>
      <t xml:space="preserve">), FP111/FP112(</t>
    </r>
    <r>
      <rPr>
        <sz val="9"/>
        <rFont val="Noto Sans CJK SC"/>
        <family val="2"/>
      </rPr>
      <t xml:space="preserve">고압가스 특정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일반제조 시설</t>
    </r>
    <r>
      <rPr>
        <sz val="9"/>
        <rFont val="맑은 고딕"/>
        <family val="0"/>
        <charset val="1"/>
      </rPr>
      <t xml:space="preserve">)</t>
    </r>
  </si>
  <si>
    <t xml:space="preserve">정식 명칭·최신판 미확인</t>
  </si>
  <si>
    <t xml:space="preserve">https://www.kgs.or.kr</t>
  </si>
  <si>
    <t xml:space="preserve">명칭 미확인. KGS 원문 확인 필요</t>
  </si>
  <si>
    <t xml:space="preserve">R12</t>
  </si>
  <si>
    <t xml:space="preserve">국제 코드</t>
  </si>
  <si>
    <r>
      <rPr>
        <sz val="9"/>
        <rFont val="맑은 고딕"/>
        <family val="0"/>
        <charset val="1"/>
      </rPr>
      <t xml:space="preserve">ASME B31.3 Process Piping: 341.4.1(Normal 5% </t>
    </r>
    <r>
      <rPr>
        <sz val="9"/>
        <rFont val="Noto Sans CJK SC"/>
        <family val="2"/>
      </rPr>
      <t xml:space="preserve">랜덤 </t>
    </r>
    <r>
      <rPr>
        <sz val="9"/>
        <rFont val="맑은 고딕"/>
        <family val="0"/>
        <charset val="1"/>
      </rPr>
      <t xml:space="preserve">RT/UT), 341.4.2(Category D </t>
    </r>
    <r>
      <rPr>
        <sz val="9"/>
        <rFont val="Noto Sans CJK SC"/>
        <family val="2"/>
      </rPr>
      <t xml:space="preserve">육안</t>
    </r>
    <r>
      <rPr>
        <sz val="9"/>
        <rFont val="맑은 고딕"/>
        <family val="0"/>
        <charset val="1"/>
      </rPr>
      <t xml:space="preserve">), Severe cyclic </t>
    </r>
    <r>
      <rPr>
        <sz val="9"/>
        <rFont val="Noto Sans CJK SC"/>
        <family val="2"/>
      </rPr>
      <t xml:space="preserve">맞대기 </t>
    </r>
    <r>
      <rPr>
        <sz val="9"/>
        <rFont val="맑은 고딕"/>
        <family val="0"/>
        <charset val="1"/>
      </rPr>
      <t xml:space="preserve">100% </t>
    </r>
    <r>
      <rPr>
        <sz val="9"/>
        <rFont val="Noto Sans CJK SC"/>
        <family val="2"/>
      </rPr>
      <t xml:space="preserve">체적검사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조항 번호 미확인</t>
    </r>
    <r>
      <rPr>
        <sz val="9"/>
        <rFont val="맑은 고딕"/>
        <family val="0"/>
        <charset val="1"/>
      </rPr>
      <t xml:space="preserve">), M341.4(Category M), 345.4.2(</t>
    </r>
    <r>
      <rPr>
        <sz val="9"/>
        <rFont val="Noto Sans CJK SC"/>
        <family val="2"/>
      </rPr>
      <t xml:space="preserve">수압 </t>
    </r>
    <r>
      <rPr>
        <sz val="9"/>
        <rFont val="맑은 고딕"/>
        <family val="0"/>
        <charset val="1"/>
      </rPr>
      <t xml:space="preserve">1.5×P×St/S), 345.5.4(</t>
    </r>
    <r>
      <rPr>
        <sz val="9"/>
        <rFont val="Noto Sans CJK SC"/>
        <family val="2"/>
      </rPr>
      <t xml:space="preserve">공압 </t>
    </r>
    <r>
      <rPr>
        <sz val="9"/>
        <rFont val="맑은 고딕"/>
        <family val="0"/>
        <charset val="1"/>
      </rPr>
      <t xml:space="preserve">1.1×), Table 331.1.1(PWHT), 323.2.2/323.3(</t>
    </r>
    <r>
      <rPr>
        <sz val="9"/>
        <rFont val="Noto Sans CJK SC"/>
        <family val="2"/>
      </rPr>
      <t xml:space="preserve">저온 충격시험</t>
    </r>
    <r>
      <rPr>
        <sz val="9"/>
        <rFont val="맑은 고딕"/>
        <family val="0"/>
        <charset val="1"/>
      </rPr>
      <t xml:space="preserve">). ※331.1.7 </t>
    </r>
    <r>
      <rPr>
        <sz val="9"/>
        <rFont val="Noto Sans CJK SC"/>
        <family val="2"/>
      </rPr>
      <t xml:space="preserve">경도 요건은 </t>
    </r>
    <r>
      <rPr>
        <sz val="9"/>
        <rFont val="맑은 고딕"/>
        <family val="0"/>
        <charset val="1"/>
      </rPr>
      <t xml:space="preserve">2014</t>
    </r>
    <r>
      <rPr>
        <sz val="9"/>
        <rFont val="Noto Sans CJK SC"/>
        <family val="2"/>
      </rPr>
      <t xml:space="preserve">판에서 삭제</t>
    </r>
  </si>
  <si>
    <r>
      <rPr>
        <sz val="9"/>
        <rFont val="맑은 고딕"/>
        <family val="0"/>
        <charset val="1"/>
      </rPr>
      <t xml:space="preserve">2024 Edition (2024.12 </t>
    </r>
    <r>
      <rPr>
        <sz val="9"/>
        <rFont val="Noto Sans CJK SC"/>
        <family val="2"/>
      </rPr>
      <t xml:space="preserve">발행</t>
    </r>
    <r>
      <rPr>
        <sz val="9"/>
        <rFont val="맑은 고딕"/>
        <family val="0"/>
        <charset val="1"/>
      </rPr>
      <t xml:space="preserve">)</t>
    </r>
  </si>
  <si>
    <t xml:space="preserve">https://epcland.com/asme-b31-3-pressure-leak-test-2/</t>
  </si>
  <si>
    <t xml:space="preserve">판은 API 570 시험대상 규격표로 확인(A). 조항은 2차 자료. 원문 대조 권장</t>
  </si>
  <si>
    <t xml:space="preserve">R13</t>
  </si>
  <si>
    <r>
      <rPr>
        <sz val="9"/>
        <rFont val="맑은 고딕"/>
        <family val="0"/>
        <charset val="1"/>
      </rPr>
      <t xml:space="preserve">NACE MR0175 / ISO 15156 (</t>
    </r>
    <r>
      <rPr>
        <sz val="9"/>
        <rFont val="Noto Sans CJK SC"/>
        <family val="2"/>
      </rPr>
      <t xml:space="preserve">석유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가스 생산 </t>
    </r>
    <r>
      <rPr>
        <sz val="9"/>
        <rFont val="맑은 고딕"/>
        <family val="0"/>
        <charset val="1"/>
      </rPr>
      <t xml:space="preserve">Sour </t>
    </r>
    <r>
      <rPr>
        <sz val="9"/>
        <rFont val="Noto Sans CJK SC"/>
        <family val="2"/>
      </rPr>
      <t xml:space="preserve">서비스 재질</t>
    </r>
    <r>
      <rPr>
        <sz val="9"/>
        <rFont val="맑은 고딕"/>
        <family val="0"/>
        <charset val="1"/>
      </rPr>
      <t xml:space="preserve">)</t>
    </r>
  </si>
  <si>
    <t xml:space="preserve">MR0175-2021 / ISO 15156:2020</t>
  </si>
  <si>
    <t xml:space="preserve">https://webstore.ansi.org/standards/nace/ansinacemr01752021iso151562020</t>
  </si>
  <si>
    <t xml:space="preserve">R14</t>
  </si>
  <si>
    <r>
      <rPr>
        <sz val="9"/>
        <rFont val="맑은 고딕"/>
        <family val="0"/>
        <charset val="1"/>
      </rPr>
      <t xml:space="preserve">NACE MR0103 / ISO 17945 (</t>
    </r>
    <r>
      <rPr>
        <sz val="9"/>
        <rFont val="Noto Sans CJK SC"/>
        <family val="2"/>
      </rPr>
      <t xml:space="preserve">정유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석유화학 </t>
    </r>
    <r>
      <rPr>
        <sz val="9"/>
        <rFont val="맑은 고딕"/>
        <family val="0"/>
        <charset val="1"/>
      </rPr>
      <t xml:space="preserve">Sour </t>
    </r>
    <r>
      <rPr>
        <sz val="9"/>
        <rFont val="Noto Sans CJK SC"/>
        <family val="2"/>
      </rPr>
      <t xml:space="preserve">서비스 재질</t>
    </r>
    <r>
      <rPr>
        <sz val="9"/>
        <rFont val="맑은 고딕"/>
        <family val="0"/>
        <charset val="1"/>
      </rPr>
      <t xml:space="preserve">)</t>
    </r>
  </si>
  <si>
    <t xml:space="preserve">MR0103-2015 / ISO 17945:2015 (R2023)</t>
  </si>
  <si>
    <t xml:space="preserve">https://webstore.ansi.org/standards/nace/ansinacemr01032015iso17945</t>
  </si>
  <si>
    <t xml:space="preserve">R15</t>
  </si>
  <si>
    <r>
      <rPr>
        <sz val="9"/>
        <rFont val="맑은 고딕"/>
        <family val="0"/>
        <charset val="1"/>
      </rPr>
      <t xml:space="preserve">API RP 941 </t>
    </r>
    <r>
      <rPr>
        <sz val="9"/>
        <rFont val="Noto Sans CJK SC"/>
        <family val="2"/>
      </rPr>
      <t xml:space="preserve">고온 수소 환경 강재</t>
    </r>
    <r>
      <rPr>
        <sz val="9"/>
        <rFont val="맑은 고딕"/>
        <family val="0"/>
        <charset val="1"/>
      </rPr>
      <t xml:space="preserve">(Nelson Curve, HTHA)</t>
    </r>
  </si>
  <si>
    <t xml:space="preserve">8th Ed. 2016 + Addendum 1 (2020)</t>
  </si>
  <si>
    <t xml:space="preserve">https://www.dinmedia.de/en/technical-rule/api-rp-941/328516281</t>
  </si>
  <si>
    <r>
      <rPr>
        <sz val="9"/>
        <rFont val="맑은 고딕"/>
        <family val="0"/>
        <charset val="1"/>
      </rPr>
      <t xml:space="preserve">9</t>
    </r>
    <r>
      <rPr>
        <sz val="9"/>
        <rFont val="Noto Sans CJK SC"/>
        <family val="2"/>
      </rPr>
      <t xml:space="preserve">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시간 의존 </t>
    </r>
    <r>
      <rPr>
        <sz val="9"/>
        <rFont val="맑은 고딕"/>
        <family val="0"/>
        <charset val="1"/>
      </rPr>
      <t xml:space="preserve">Nelson Curve) </t>
    </r>
    <r>
      <rPr>
        <sz val="9"/>
        <rFont val="Noto Sans CJK SC"/>
        <family val="2"/>
      </rPr>
      <t xml:space="preserve">발행 여부 미확인</t>
    </r>
  </si>
  <si>
    <t xml:space="preserve">R16</t>
  </si>
  <si>
    <r>
      <rPr>
        <sz val="9"/>
        <rFont val="맑은 고딕"/>
        <family val="0"/>
        <charset val="1"/>
      </rPr>
      <t xml:space="preserve">API RP 571 </t>
    </r>
    <r>
      <rPr>
        <sz val="9"/>
        <rFont val="Noto Sans CJK SC"/>
        <family val="2"/>
      </rPr>
      <t xml:space="preserve">손상 메커니즘 </t>
    </r>
    <r>
      <rPr>
        <sz val="9"/>
        <rFont val="맑은 고딕"/>
        <family val="0"/>
        <charset val="1"/>
      </rPr>
      <t xml:space="preserve">(CUI, </t>
    </r>
    <r>
      <rPr>
        <sz val="9"/>
        <rFont val="Noto Sans CJK SC"/>
        <family val="2"/>
      </rPr>
      <t xml:space="preserve">염화물 </t>
    </r>
    <r>
      <rPr>
        <sz val="9"/>
        <rFont val="맑은 고딕"/>
        <family val="0"/>
        <charset val="1"/>
      </rPr>
      <t xml:space="preserve">SCC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</si>
  <si>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3rd Ed. 2020</t>
  </si>
  <si>
    <t xml:space="preserve">https://www.api.org/-/media/Files/Certification/ICP/ICP-Certification-Programs/653/2026%20files/March%202027_653_Publications%20Effectivity%20sheet_final.pdf</t>
  </si>
  <si>
    <t xml:space="preserve">R17</t>
  </si>
  <si>
    <r>
      <rPr>
        <sz val="9"/>
        <rFont val="맑은 고딕"/>
        <family val="0"/>
        <charset val="1"/>
      </rPr>
      <t xml:space="preserve">API Std 598 </t>
    </r>
    <r>
      <rPr>
        <sz val="9"/>
        <rFont val="Noto Sans CJK SC"/>
        <family val="2"/>
      </rPr>
      <t xml:space="preserve">밸브 검사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시험</t>
    </r>
  </si>
  <si>
    <t xml:space="preserve">11th Ed. 2023</t>
  </si>
  <si>
    <t xml:space="preserve">https://eshop.normservis.sk/norma/apistd-598-1.2.2023.html</t>
  </si>
  <si>
    <t xml:space="preserve">R18</t>
  </si>
  <si>
    <r>
      <rPr>
        <sz val="9"/>
        <rFont val="맑은 고딕"/>
        <family val="0"/>
        <charset val="1"/>
      </rPr>
      <t xml:space="preserve">API Spec 6D </t>
    </r>
    <r>
      <rPr>
        <sz val="9"/>
        <rFont val="Noto Sans CJK SC"/>
        <family val="2"/>
      </rPr>
      <t xml:space="preserve">파이프라인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배관 밸브</t>
    </r>
  </si>
  <si>
    <t xml:space="preserve">25th Ed. (2023.10)</t>
  </si>
  <si>
    <t xml:space="preserve">https://www.api.org/products-and-services/standards/important-standards-announcements/spec6d</t>
  </si>
  <si>
    <t xml:space="preserve">R19</t>
  </si>
  <si>
    <r>
      <rPr>
        <sz val="9"/>
        <rFont val="맑은 고딕"/>
        <family val="0"/>
        <charset val="1"/>
      </rPr>
      <t xml:space="preserve">API Std 607 1/4</t>
    </r>
    <r>
      <rPr>
        <sz val="9"/>
        <rFont val="Noto Sans CJK SC"/>
        <family val="2"/>
      </rPr>
      <t xml:space="preserve">회전 밸브 화재시험 </t>
    </r>
    <r>
      <rPr>
        <sz val="9"/>
        <rFont val="맑은 고딕"/>
        <family val="0"/>
        <charset val="1"/>
      </rPr>
      <t xml:space="preserve">(Fire-safe)</t>
    </r>
  </si>
  <si>
    <t xml:space="preserve">8th Ed. 2022</t>
  </si>
  <si>
    <t xml:space="preserve">https://eshop.normservis.sk/norma/apistd-607-ed-8-1.10.2022.html</t>
  </si>
  <si>
    <t xml:space="preserve">R20</t>
  </si>
  <si>
    <r>
      <rPr>
        <sz val="9"/>
        <rFont val="맑은 고딕"/>
        <family val="0"/>
        <charset val="1"/>
      </rPr>
      <t xml:space="preserve">ISO 15848-1 </t>
    </r>
    <r>
      <rPr>
        <sz val="9"/>
        <rFont val="Noto Sans CJK SC"/>
        <family val="2"/>
      </rPr>
      <t xml:space="preserve">산업용 밸브 탈루 배출</t>
    </r>
    <r>
      <rPr>
        <sz val="9"/>
        <rFont val="맑은 고딕"/>
        <family val="0"/>
        <charset val="1"/>
      </rPr>
      <t xml:space="preserve">(Fugitive Emission)</t>
    </r>
  </si>
  <si>
    <t xml:space="preserve">ISO 15848-1:2015 + Amd 1:2017</t>
  </si>
  <si>
    <t xml:space="preserve">https://www.iso.org/standard/61441.html</t>
  </si>
  <si>
    <t xml:space="preserve">R21</t>
  </si>
  <si>
    <r>
      <rPr>
        <sz val="9"/>
        <rFont val="맑은 고딕"/>
        <family val="0"/>
        <charset val="1"/>
      </rPr>
      <t xml:space="preserve">EN 10204 </t>
    </r>
    <r>
      <rPr>
        <sz val="9"/>
        <rFont val="Noto Sans CJK SC"/>
        <family val="2"/>
      </rPr>
      <t xml:space="preserve">금속제품 검사문서 </t>
    </r>
    <r>
      <rPr>
        <sz val="9"/>
        <rFont val="맑은 고딕"/>
        <family val="0"/>
        <charset val="1"/>
      </rPr>
      <t xml:space="preserve">(3.1: </t>
    </r>
    <r>
      <rPr>
        <sz val="9"/>
        <rFont val="Noto Sans CJK SC"/>
        <family val="2"/>
      </rPr>
      <t xml:space="preserve">제조사 독립 검사</t>
    </r>
    <r>
      <rPr>
        <sz val="9"/>
        <rFont val="맑은 고딕"/>
        <family val="0"/>
        <charset val="1"/>
      </rPr>
      <t xml:space="preserve">, 3.2: </t>
    </r>
    <r>
      <rPr>
        <sz val="9"/>
        <rFont val="Noto Sans CJK SC"/>
        <family val="2"/>
      </rPr>
      <t xml:space="preserve">구매자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자 공동 확인</t>
    </r>
    <r>
      <rPr>
        <sz val="9"/>
        <rFont val="맑은 고딕"/>
        <family val="0"/>
        <charset val="1"/>
      </rPr>
      <t xml:space="preserve">)</t>
    </r>
  </si>
  <si>
    <t xml:space="preserve">EN 10204:2004</t>
  </si>
  <si>
    <t xml:space="preserve">https://wermac.org/din/en10204.html</t>
  </si>
  <si>
    <t xml:space="preserve">R22</t>
  </si>
  <si>
    <r>
      <rPr>
        <sz val="9"/>
        <rFont val="맑은 고딕"/>
        <family val="0"/>
        <charset val="1"/>
      </rPr>
      <t xml:space="preserve">API RP 2201 </t>
    </r>
    <r>
      <rPr>
        <sz val="9"/>
        <rFont val="Noto Sans CJK SC"/>
        <family val="2"/>
      </rPr>
      <t xml:space="preserve">안전한 </t>
    </r>
    <r>
      <rPr>
        <sz val="9"/>
        <rFont val="맑은 고딕"/>
        <family val="0"/>
        <charset val="1"/>
      </rPr>
      <t xml:space="preserve">Hot Tapping</t>
    </r>
  </si>
  <si>
    <r>
      <rPr>
        <sz val="9"/>
        <rFont val="맑은 고딕"/>
        <family val="0"/>
        <charset val="1"/>
      </rPr>
      <t xml:space="preserve">5th Ed. 2003 (2020 </t>
    </r>
    <r>
      <rPr>
        <sz val="9"/>
        <rFont val="Noto Sans CJK SC"/>
        <family val="2"/>
      </rPr>
      <t xml:space="preserve">재등재</t>
    </r>
    <r>
      <rPr>
        <sz val="9"/>
        <rFont val="맑은 고딕"/>
        <family val="0"/>
        <charset val="1"/>
      </rPr>
      <t xml:space="preserve">)</t>
    </r>
  </si>
  <si>
    <t xml:space="preserve">https://online.standard.no/en/api-rp-2201</t>
  </si>
  <si>
    <t xml:space="preserve">R23</t>
  </si>
  <si>
    <r>
      <rPr>
        <sz val="9"/>
        <rFont val="맑은 고딕"/>
        <family val="0"/>
        <charset val="1"/>
      </rPr>
      <t xml:space="preserve">API RP 2218 </t>
    </r>
    <r>
      <rPr>
        <sz val="9"/>
        <rFont val="Noto Sans CJK SC"/>
        <family val="2"/>
      </rPr>
      <t xml:space="preserve">석유화학 공장 내화피복</t>
    </r>
    <r>
      <rPr>
        <sz val="9"/>
        <rFont val="맑은 고딕"/>
        <family val="0"/>
        <charset val="1"/>
      </rPr>
      <t xml:space="preserve">(Fireproofing)</t>
    </r>
  </si>
  <si>
    <t xml:space="preserve">3rd Ed. 2013 (R2020)</t>
  </si>
  <si>
    <t xml:space="preserve">https://eshop.normservis.sk/norma/apirp-2218-ed-3-1.3.2020.html</t>
  </si>
  <si>
    <t xml:space="preserve">R24</t>
  </si>
  <si>
    <r>
      <rPr>
        <sz val="9"/>
        <rFont val="맑은 고딕"/>
        <family val="0"/>
        <charset val="1"/>
      </rPr>
      <t xml:space="preserve">API Std 521 </t>
    </r>
    <r>
      <rPr>
        <sz val="9"/>
        <rFont val="Noto Sans CJK SC"/>
        <family val="2"/>
      </rPr>
      <t xml:space="preserve">압력방출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감압 시스템</t>
    </r>
  </si>
  <si>
    <t xml:space="preserve">7th Ed. 2020 (Errata 2022)</t>
  </si>
  <si>
    <t xml:space="preserve">https://eshop.normservis.sk/norma/apistd-521-31.5.2020.html</t>
  </si>
  <si>
    <t xml:space="preserve">R25</t>
  </si>
  <si>
    <r>
      <rPr>
        <sz val="9"/>
        <rFont val="맑은 고딕"/>
        <family val="0"/>
        <charset val="1"/>
      </rPr>
      <t xml:space="preserve">API Std 537 Flare </t>
    </r>
    <r>
      <rPr>
        <sz val="9"/>
        <rFont val="Noto Sans CJK SC"/>
        <family val="2"/>
      </rPr>
      <t xml:space="preserve">상세 사양</t>
    </r>
  </si>
  <si>
    <r>
      <rPr>
        <sz val="9"/>
        <rFont val="맑은 고딕"/>
        <family val="0"/>
        <charset val="1"/>
      </rPr>
      <t xml:space="preserve">3rd Ed. (</t>
    </r>
    <r>
      <rPr>
        <sz val="9"/>
        <rFont val="Noto Sans CJK SC"/>
        <family val="2"/>
      </rPr>
      <t xml:space="preserve">이후 개정 상태 미확인</t>
    </r>
    <r>
      <rPr>
        <sz val="9"/>
        <rFont val="맑은 고딕"/>
        <family val="0"/>
        <charset val="1"/>
      </rPr>
      <t xml:space="preserve">)</t>
    </r>
  </si>
  <si>
    <t xml:space="preserve">https://online.standard.no/nb/api-std-537-8</t>
  </si>
  <si>
    <t xml:space="preserve">R26</t>
  </si>
  <si>
    <r>
      <rPr>
        <sz val="9"/>
        <rFont val="맑은 고딕"/>
        <family val="0"/>
        <charset val="1"/>
      </rPr>
      <t xml:space="preserve">IEC 60079-10-1 </t>
    </r>
    <r>
      <rPr>
        <sz val="9"/>
        <rFont val="Noto Sans CJK SC"/>
        <family val="2"/>
      </rPr>
      <t xml:space="preserve">폭발위험장소 구분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가스</t>
    </r>
    <r>
      <rPr>
        <sz val="9"/>
        <rFont val="맑은 고딕"/>
        <family val="0"/>
        <charset val="1"/>
      </rPr>
      <t xml:space="preserve">)</t>
    </r>
  </si>
  <si>
    <t xml:space="preserve">Ed. 3.0, 2020</t>
  </si>
  <si>
    <t xml:space="preserve">https://webstore.iec.ch/publication/63327</t>
  </si>
  <si>
    <r>
      <rPr>
        <sz val="9"/>
        <rFont val="맑은 고딕"/>
        <family val="0"/>
        <charset val="1"/>
      </rPr>
      <t xml:space="preserve">KS C IEC 60079-10-1 </t>
    </r>
    <r>
      <rPr>
        <sz val="9"/>
        <rFont val="Noto Sans CJK SC"/>
        <family val="2"/>
      </rPr>
      <t xml:space="preserve">판 미확인</t>
    </r>
  </si>
  <si>
    <t xml:space="preserve">R27</t>
  </si>
  <si>
    <r>
      <rPr>
        <sz val="9"/>
        <rFont val="맑은 고딕"/>
        <family val="0"/>
        <charset val="1"/>
      </rPr>
      <t xml:space="preserve">API RP 505 </t>
    </r>
    <r>
      <rPr>
        <sz val="9"/>
        <rFont val="Noto Sans CJK SC"/>
        <family val="2"/>
      </rPr>
      <t xml:space="preserve">폭발위험장소 구분 </t>
    </r>
    <r>
      <rPr>
        <sz val="9"/>
        <rFont val="맑은 고딕"/>
        <family val="0"/>
        <charset val="1"/>
      </rPr>
      <t xml:space="preserve">(Zone </t>
    </r>
    <r>
      <rPr>
        <sz val="9"/>
        <rFont val="Noto Sans CJK SC"/>
        <family val="2"/>
      </rPr>
      <t xml:space="preserve">방식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</si>
  <si>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2025.1 </t>
    </r>
    <r>
      <rPr>
        <sz val="9"/>
        <rFont val="Noto Sans CJK SC"/>
        <family val="2"/>
      </rPr>
      <t xml:space="preserve">판 </t>
    </r>
    <r>
      <rPr>
        <sz val="9"/>
        <rFont val="맑은 고딕"/>
        <family val="0"/>
        <charset val="1"/>
      </rPr>
      <t xml:space="preserve">(2018</t>
    </r>
    <r>
      <rPr>
        <sz val="9"/>
        <rFont val="Noto Sans CJK SC"/>
        <family val="2"/>
      </rPr>
      <t xml:space="preserve">판 대체</t>
    </r>
    <r>
      <rPr>
        <sz val="9"/>
        <rFont val="맑은 고딕"/>
        <family val="0"/>
        <charset val="1"/>
      </rPr>
      <t xml:space="preserve">)</t>
    </r>
  </si>
  <si>
    <t xml:space="preserve">https://dinmedia.de/en/technical-rule/api-rp-505/296066690</t>
  </si>
  <si>
    <t xml:space="preserve">R28</t>
  </si>
  <si>
    <r>
      <rPr>
        <sz val="9"/>
        <rFont val="맑은 고딕"/>
        <family val="0"/>
        <charset val="1"/>
      </rPr>
      <t xml:space="preserve">ISO 8501-1 </t>
    </r>
    <r>
      <rPr>
        <sz val="9"/>
        <rFont val="Noto Sans CJK SC"/>
        <family val="2"/>
      </rPr>
      <t xml:space="preserve">도장 전 표면처리 등급 </t>
    </r>
    <r>
      <rPr>
        <sz val="9"/>
        <rFont val="맑은 고딕"/>
        <family val="0"/>
        <charset val="1"/>
      </rPr>
      <t xml:space="preserve">(Sa 2½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</si>
  <si>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ISO 8501-1:2007</t>
  </si>
  <si>
    <t xml:space="preserve">https://www.evs.ee/en/iso-8501-1-2007</t>
  </si>
  <si>
    <t xml:space="preserve">R29</t>
  </si>
  <si>
    <t xml:space="preserve">실무 지침</t>
  </si>
  <si>
    <r>
      <rPr>
        <sz val="9"/>
        <rFont val="맑은 고딕"/>
        <family val="0"/>
        <charset val="1"/>
      </rPr>
      <t xml:space="preserve">AACE International 18R-97 </t>
    </r>
    <r>
      <rPr>
        <sz val="9"/>
        <rFont val="Noto Sans CJK SC"/>
        <family val="2"/>
      </rPr>
      <t xml:space="preserve">견적 등급 분류 </t>
    </r>
    <r>
      <rPr>
        <sz val="9"/>
        <rFont val="맑은 고딕"/>
        <family val="0"/>
        <charset val="1"/>
      </rPr>
      <t xml:space="preserve">(Class 3: </t>
    </r>
    <r>
      <rPr>
        <sz val="9"/>
        <rFont val="Noto Sans CJK SC"/>
        <family val="2"/>
      </rPr>
      <t xml:space="preserve">정의도 </t>
    </r>
    <r>
      <rPr>
        <sz val="9"/>
        <rFont val="맑은 고딕"/>
        <family val="0"/>
        <charset val="1"/>
      </rPr>
      <t xml:space="preserve">10~40%, </t>
    </r>
    <r>
      <rPr>
        <sz val="9"/>
        <rFont val="Noto Sans CJK SC"/>
        <family val="2"/>
      </rPr>
      <t xml:space="preserve">정확도 </t>
    </r>
    <r>
      <rPr>
        <sz val="9"/>
        <rFont val="맑은 고딕"/>
        <family val="0"/>
        <charset val="1"/>
      </rPr>
      <t xml:space="preserve">-10~-20% / +10~+30%; Class 2: 30~75%, -5~-15% / +5~+20%)</t>
    </r>
  </si>
  <si>
    <t xml:space="preserve">최신 개정일 미확인</t>
  </si>
  <si>
    <t xml:space="preserve">https://epcland.com/aace-estimate-classification-system/</t>
  </si>
  <si>
    <r>
      <rPr>
        <sz val="9"/>
        <rFont val="맑은 고딕"/>
        <family val="0"/>
        <charset val="1"/>
      </rPr>
      <t xml:space="preserve">AACE </t>
    </r>
    <r>
      <rPr>
        <sz val="9"/>
        <rFont val="Noto Sans CJK SC"/>
        <family val="2"/>
      </rPr>
      <t xml:space="preserve">원문</t>
    </r>
    <r>
      <rPr>
        <sz val="9"/>
        <rFont val="맑은 고딕"/>
        <family val="0"/>
        <charset val="1"/>
      </rPr>
      <t xml:space="preserve">: https://library.aacei.org/pgd01/pgd01.shtml</t>
    </r>
  </si>
  <si>
    <t xml:space="preserve">R30</t>
  </si>
  <si>
    <t xml:space="preserve">실무 서적</t>
  </si>
  <si>
    <r>
      <rPr>
        <sz val="9"/>
        <rFont val="맑은 고딕"/>
        <family val="0"/>
        <charset val="1"/>
      </rPr>
      <t xml:space="preserve">John S. Page, Estimator's Piping Man-Hour Manual (</t>
    </r>
    <r>
      <rPr>
        <sz val="9"/>
        <rFont val="Noto Sans CJK SC"/>
        <family val="2"/>
      </rPr>
      <t xml:space="preserve">배관 공수 산정 참고서</t>
    </r>
    <r>
      <rPr>
        <sz val="9"/>
        <rFont val="맑은 고딕"/>
        <family val="0"/>
        <charset val="1"/>
      </rPr>
      <t xml:space="preserve">)</t>
    </r>
  </si>
  <si>
    <t xml:space="preserve">5th Ed. 1999, ISBN 978-0-88415-259-0</t>
  </si>
  <si>
    <t xml:space="preserve">https://shop.elsevier.com/books/estimators-piping-man-hour-manual/page/978-0-88415-259-0</t>
  </si>
  <si>
    <t xml:space="preserve">서지 정보만 확인. 이 파일의 보정계수 수치는 이 책에서 인용한 것이 아님</t>
  </si>
  <si>
    <t xml:space="preserve">R31</t>
  </si>
  <si>
    <r>
      <rPr>
        <sz val="9"/>
        <rFont val="맑은 고딕"/>
        <family val="0"/>
        <charset val="1"/>
      </rPr>
      <t xml:space="preserve">ASME PCC-2 </t>
    </r>
    <r>
      <rPr>
        <sz val="9"/>
        <rFont val="Noto Sans CJK SC"/>
        <family val="2"/>
      </rPr>
      <t xml:space="preserve">오스테나이트계 </t>
    </r>
    <r>
      <rPr>
        <sz val="9"/>
        <rFont val="맑은 고딕"/>
        <family val="0"/>
        <charset val="1"/>
      </rPr>
      <t xml:space="preserve">SS </t>
    </r>
    <r>
      <rPr>
        <sz val="9"/>
        <rFont val="Noto Sans CJK SC"/>
        <family val="2"/>
      </rPr>
      <t xml:space="preserve">수압시험수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염화물 </t>
    </r>
    <r>
      <rPr>
        <sz val="9"/>
        <rFont val="맑은 고딕"/>
        <family val="0"/>
        <charset val="1"/>
      </rPr>
      <t xml:space="preserve">50 ppm </t>
    </r>
    <r>
      <rPr>
        <sz val="9"/>
        <rFont val="Noto Sans CJK SC"/>
        <family val="2"/>
      </rPr>
      <t xml:space="preserve">미만 확인된 물</t>
    </r>
  </si>
  <si>
    <r>
      <rPr>
        <sz val="9"/>
        <rFont val="맑은 고딕"/>
        <family val="0"/>
        <charset val="1"/>
      </rPr>
      <t xml:space="preserve">PCC-2:2018 (Article </t>
    </r>
    <r>
      <rPr>
        <sz val="9"/>
        <rFont val="Noto Sans CJK SC"/>
        <family val="2"/>
      </rPr>
      <t xml:space="preserve">번호 미확인</t>
    </r>
    <r>
      <rPr>
        <sz val="9"/>
        <rFont val="맑은 고딕"/>
        <family val="0"/>
        <charset val="1"/>
      </rPr>
      <t xml:space="preserve">)</t>
    </r>
  </si>
  <si>
    <t xml:space="preserve">https://www.eng-tips.com/viewthread.cfm?qid=499830</t>
  </si>
  <si>
    <r>
      <rPr>
        <sz val="9"/>
        <rFont val="맑은 고딕"/>
        <family val="0"/>
        <charset val="1"/>
      </rPr>
      <t xml:space="preserve">B31.3</t>
    </r>
    <r>
      <rPr>
        <sz val="9"/>
        <rFont val="Noto Sans CJK SC"/>
        <family val="2"/>
      </rPr>
      <t xml:space="preserve">에는 염화물 수치 규정 없음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확인 범위 내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프로젝트 사양 우선</t>
    </r>
  </si>
  <si>
    <t xml:space="preserve">R32</t>
  </si>
  <si>
    <r>
      <rPr>
        <sz val="9"/>
        <rFont val="맑은 고딕"/>
        <family val="0"/>
        <charset val="1"/>
      </rPr>
      <t xml:space="preserve">API Std 650 </t>
    </r>
    <r>
      <rPr>
        <sz val="9"/>
        <rFont val="Noto Sans CJK SC"/>
        <family val="2"/>
      </rPr>
      <t xml:space="preserve">용접 원유 저장탱크</t>
    </r>
    <r>
      <rPr>
        <sz val="9"/>
        <rFont val="맑은 고딕"/>
        <family val="0"/>
        <charset val="1"/>
      </rPr>
      <t xml:space="preserve">: 5.6.3(1-Foot</t>
    </r>
    <r>
      <rPr>
        <sz val="9"/>
        <rFont val="Noto Sans CJK SC"/>
        <family val="2"/>
      </rPr>
      <t xml:space="preserve">법</t>
    </r>
    <r>
      <rPr>
        <sz val="9"/>
        <rFont val="맑은 고딕"/>
        <family val="0"/>
        <charset val="1"/>
      </rPr>
      <t xml:space="preserve">, D&gt;61m </t>
    </r>
    <r>
      <rPr>
        <sz val="9"/>
        <rFont val="Noto Sans CJK SC"/>
        <family val="2"/>
      </rPr>
      <t xml:space="preserve">불가</t>
    </r>
    <r>
      <rPr>
        <sz val="9"/>
        <rFont val="맑은 고딕"/>
        <family val="0"/>
        <charset val="1"/>
      </rPr>
      <t xml:space="preserve">)/5.6.4(Variable Design Point), 5.6.1.1(</t>
    </r>
    <r>
      <rPr>
        <sz val="9"/>
        <rFont val="Noto Sans CJK SC"/>
        <family val="2"/>
      </rPr>
      <t xml:space="preserve">최소 셸 두께</t>
    </r>
    <r>
      <rPr>
        <sz val="9"/>
        <rFont val="맑은 고딕"/>
        <family val="0"/>
        <charset val="1"/>
      </rPr>
      <t xml:space="preserve">), 5.7.4.2(</t>
    </r>
    <r>
      <rPr>
        <sz val="9"/>
        <rFont val="Noto Sans CJK SC"/>
        <family val="2"/>
      </rPr>
      <t xml:space="preserve">노즐 조립체 열처리</t>
    </r>
    <r>
      <rPr>
        <sz val="9"/>
        <rFont val="맑은 고딕"/>
        <family val="0"/>
        <charset val="1"/>
      </rPr>
      <t xml:space="preserve">), 5.9(</t>
    </r>
    <r>
      <rPr>
        <sz val="9"/>
        <rFont val="Noto Sans CJK SC"/>
        <family val="2"/>
      </rPr>
      <t xml:space="preserve">보강링</t>
    </r>
    <r>
      <rPr>
        <sz val="9"/>
        <rFont val="맑은 고딕"/>
        <family val="0"/>
        <charset val="1"/>
      </rPr>
      <t xml:space="preserve">), 5.11(</t>
    </r>
    <r>
      <rPr>
        <sz val="9"/>
        <rFont val="Noto Sans CJK SC"/>
        <family val="2"/>
      </rPr>
      <t xml:space="preserve">풍하중 전도</t>
    </r>
    <r>
      <rPr>
        <sz val="9"/>
        <rFont val="맑은 고딕"/>
        <family val="0"/>
        <charset val="1"/>
      </rPr>
      <t xml:space="preserve">), 5.12(</t>
    </r>
    <r>
      <rPr>
        <sz val="9"/>
        <rFont val="Noto Sans CJK SC"/>
        <family val="2"/>
      </rPr>
      <t xml:space="preserve">앵커</t>
    </r>
    <r>
      <rPr>
        <sz val="9"/>
        <rFont val="맑은 고딕"/>
        <family val="0"/>
        <charset val="1"/>
      </rPr>
      <t xml:space="preserve">), 7.3.6(</t>
    </r>
    <r>
      <rPr>
        <sz val="9"/>
        <rFont val="Noto Sans CJK SC"/>
        <family val="2"/>
      </rPr>
      <t xml:space="preserve">수압시험</t>
    </r>
    <r>
      <rPr>
        <sz val="9"/>
        <rFont val="맑은 고딕"/>
        <family val="0"/>
        <charset val="1"/>
      </rPr>
      <t xml:space="preserve">), 7.5(</t>
    </r>
    <r>
      <rPr>
        <sz val="9"/>
        <rFont val="Noto Sans CJK SC"/>
        <family val="2"/>
      </rPr>
      <t xml:space="preserve">치수 허용오차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수직도 </t>
    </r>
    <r>
      <rPr>
        <sz val="9"/>
        <rFont val="맑은 고딕"/>
        <family val="0"/>
        <charset val="1"/>
      </rPr>
      <t xml:space="preserve">H/200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), 8.1(RT), Annex B(</t>
    </r>
    <r>
      <rPr>
        <sz val="9"/>
        <rFont val="Noto Sans CJK SC"/>
        <family val="2"/>
      </rPr>
      <t xml:space="preserve">기초</t>
    </r>
    <r>
      <rPr>
        <sz val="9"/>
        <rFont val="맑은 고딕"/>
        <family val="0"/>
        <charset val="1"/>
      </rPr>
      <t xml:space="preserve">), C(</t>
    </r>
    <r>
      <rPr>
        <sz val="9"/>
        <rFont val="Noto Sans CJK SC"/>
        <family val="2"/>
      </rPr>
      <t xml:space="preserve">외부부상지붕</t>
    </r>
    <r>
      <rPr>
        <sz val="9"/>
        <rFont val="맑은 고딕"/>
        <family val="0"/>
        <charset val="1"/>
      </rPr>
      <t xml:space="preserve">), E(</t>
    </r>
    <r>
      <rPr>
        <sz val="9"/>
        <rFont val="Noto Sans CJK SC"/>
        <family val="2"/>
      </rPr>
      <t xml:space="preserve">내진</t>
    </r>
    <r>
      <rPr>
        <sz val="9"/>
        <rFont val="맑은 고딕"/>
        <family val="0"/>
        <charset val="1"/>
      </rPr>
      <t xml:space="preserve">), F(</t>
    </r>
    <r>
      <rPr>
        <sz val="9"/>
        <rFont val="Noto Sans CJK SC"/>
        <family val="2"/>
      </rPr>
      <t xml:space="preserve">소내압</t>
    </r>
    <r>
      <rPr>
        <sz val="9"/>
        <rFont val="맑은 고딕"/>
        <family val="0"/>
        <charset val="1"/>
      </rPr>
      <t xml:space="preserve">), G(</t>
    </r>
    <r>
      <rPr>
        <sz val="9"/>
        <rFont val="Noto Sans CJK SC"/>
        <family val="2"/>
      </rPr>
      <t xml:space="preserve">알루미늄 돔</t>
    </r>
    <r>
      <rPr>
        <sz val="9"/>
        <rFont val="맑은 고딕"/>
        <family val="0"/>
        <charset val="1"/>
      </rPr>
      <t xml:space="preserve">), H(</t>
    </r>
    <r>
      <rPr>
        <sz val="9"/>
        <rFont val="Noto Sans CJK SC"/>
        <family val="2"/>
      </rPr>
      <t xml:space="preserve">내부부상지붕</t>
    </r>
    <r>
      <rPr>
        <sz val="9"/>
        <rFont val="맑은 고딕"/>
        <family val="0"/>
        <charset val="1"/>
      </rPr>
      <t xml:space="preserve">), I(</t>
    </r>
    <r>
      <rPr>
        <sz val="9"/>
        <rFont val="Noto Sans CJK SC"/>
        <family val="2"/>
      </rPr>
      <t xml:space="preserve">누설감지</t>
    </r>
    <r>
      <rPr>
        <sz val="9"/>
        <rFont val="맑은 고딕"/>
        <family val="0"/>
        <charset val="1"/>
      </rPr>
      <t xml:space="preserve">), M(93~260°C), S(SS, S.4.10.1 </t>
    </r>
    <r>
      <rPr>
        <sz val="9"/>
        <rFont val="Noto Sans CJK SC"/>
        <family val="2"/>
      </rPr>
      <t xml:space="preserve">시험수 염화물 </t>
    </r>
    <r>
      <rPr>
        <sz val="9"/>
        <rFont val="맑은 고딕"/>
        <family val="0"/>
        <charset val="1"/>
      </rPr>
      <t xml:space="preserve">50ppm), X(Duplex)</t>
    </r>
  </si>
  <si>
    <r>
      <rPr>
        <sz val="9"/>
        <rFont val="맑은 고딕"/>
        <family val="0"/>
        <charset val="1"/>
      </rPr>
      <t xml:space="preserve">14th Ed. 2025.8 (</t>
    </r>
    <r>
      <rPr>
        <sz val="9"/>
        <rFont val="Noto Sans CJK SC"/>
        <family val="2"/>
      </rPr>
      <t xml:space="preserve">현행</t>
    </r>
    <r>
      <rPr>
        <sz val="9"/>
        <rFont val="맑은 고딕"/>
        <family val="0"/>
        <charset val="1"/>
      </rPr>
      <t xml:space="preserve">)</t>
    </r>
  </si>
  <si>
    <t xml:space="preserve">https://www.dinmedia.de/en/standard/api-std-650/394730646</t>
  </si>
  <si>
    <t xml:space="preserve">판(A)과 Annex 제목(A, 12판 목차 https://api.org/~/media/Files/Publications/Whats%20New/650%20e12%20PA.pdf)은 확인. 본문 조항은 13판 이하 2차 자료 → 14판 원문 대조 필요. 바닥 진공시험 조항 미확인</t>
  </si>
  <si>
    <t xml:space="preserve">R33</t>
  </si>
  <si>
    <r>
      <rPr>
        <sz val="9"/>
        <rFont val="맑은 고딕"/>
        <family val="0"/>
        <charset val="1"/>
      </rPr>
      <t xml:space="preserve">API Std 620 </t>
    </r>
    <r>
      <rPr>
        <sz val="9"/>
        <rFont val="Noto Sans CJK SC"/>
        <family val="2"/>
      </rPr>
      <t xml:space="preserve">대형 저압 용접 저장탱크 </t>
    </r>
    <r>
      <rPr>
        <sz val="9"/>
        <rFont val="맑은 고딕"/>
        <family val="0"/>
        <charset val="1"/>
      </rPr>
      <t xml:space="preserve">(Annex R: -51°C </t>
    </r>
    <r>
      <rPr>
        <sz val="9"/>
        <rFont val="Noto Sans CJK SC"/>
        <family val="2"/>
      </rPr>
      <t xml:space="preserve">이상 저온</t>
    </r>
    <r>
      <rPr>
        <sz val="9"/>
        <rFont val="맑은 고딕"/>
        <family val="0"/>
        <charset val="1"/>
      </rPr>
      <t xml:space="preserve">, Annex Q: -198°C </t>
    </r>
    <r>
      <rPr>
        <sz val="9"/>
        <rFont val="Noto Sans CJK SC"/>
        <family val="2"/>
      </rPr>
      <t xml:space="preserve">이상 극저온</t>
    </r>
    <r>
      <rPr>
        <sz val="9"/>
        <rFont val="맑은 고딕"/>
        <family val="0"/>
        <charset val="1"/>
      </rPr>
      <t xml:space="preserve">)</t>
    </r>
  </si>
  <si>
    <t xml:space="preserve">12th Ed. 2013 + Addendum 4 (2025.2)</t>
  </si>
  <si>
    <t xml:space="preserve">https://www.dinmedia.de/en/standard/api-std-620/390848206</t>
  </si>
  <si>
    <t xml:space="preserve">판은 A, Annex 온도범위는 2차 자료(https://www.eng-tips.com/viewthread.cfm?qid=489318)</t>
  </si>
  <si>
    <t xml:space="preserve">R34</t>
  </si>
  <si>
    <r>
      <rPr>
        <sz val="9"/>
        <rFont val="맑은 고딕"/>
        <family val="0"/>
        <charset val="1"/>
      </rPr>
      <t xml:space="preserve">API Std 625 </t>
    </r>
    <r>
      <rPr>
        <sz val="9"/>
        <rFont val="Noto Sans CJK SC"/>
        <family val="2"/>
      </rPr>
      <t xml:space="preserve">냉동 액화가스 탱크 시스템 </t>
    </r>
    <r>
      <rPr>
        <sz val="9"/>
        <rFont val="맑은 고딕"/>
        <family val="0"/>
        <charset val="1"/>
      </rPr>
      <t xml:space="preserve">(Single/Double/Full Containment)</t>
    </r>
  </si>
  <si>
    <t xml:space="preserve">1st Ed. 2010 + Addendum 5 (2025.2)</t>
  </si>
  <si>
    <t xml:space="preserve">https://www.dinmedia.de/en/standard/api-std-625/389977817</t>
  </si>
  <si>
    <t xml:space="preserve">R35</t>
  </si>
  <si>
    <r>
      <rPr>
        <sz val="9"/>
        <rFont val="맑은 고딕"/>
        <family val="0"/>
        <charset val="1"/>
      </rPr>
      <t xml:space="preserve">API RP 651 </t>
    </r>
    <r>
      <rPr>
        <sz val="9"/>
        <rFont val="Noto Sans CJK SC"/>
        <family val="2"/>
      </rPr>
      <t xml:space="preserve">지상 저장탱크 전기방식</t>
    </r>
    <r>
      <rPr>
        <sz val="9"/>
        <rFont val="맑은 고딕"/>
        <family val="0"/>
        <charset val="1"/>
      </rPr>
      <t xml:space="preserve">(CP)</t>
    </r>
  </si>
  <si>
    <t xml:space="preserve">5th Ed. 2024.8</t>
  </si>
  <si>
    <t xml:space="preserve">https://eshop.normservis.sk/norma/apirp-651-1.8.2024.html</t>
  </si>
  <si>
    <t xml:space="preserve">R36</t>
  </si>
  <si>
    <r>
      <rPr>
        <sz val="9"/>
        <rFont val="맑은 고딕"/>
        <family val="0"/>
        <charset val="1"/>
      </rPr>
      <t xml:space="preserve">API Std 653 </t>
    </r>
    <r>
      <rPr>
        <sz val="9"/>
        <rFont val="Noto Sans CJK SC"/>
        <family val="2"/>
      </rPr>
      <t xml:space="preserve">탱크 검사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보수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개조 </t>
    </r>
    <r>
      <rPr>
        <sz val="9"/>
        <rFont val="맑은 고딕"/>
        <family val="0"/>
        <charset val="1"/>
      </rPr>
      <t xml:space="preserve">(Annex B </t>
    </r>
    <r>
      <rPr>
        <sz val="9"/>
        <rFont val="Noto Sans CJK SC"/>
        <family val="2"/>
      </rPr>
      <t xml:space="preserve">침하 평가</t>
    </r>
    <r>
      <rPr>
        <sz val="9"/>
        <rFont val="맑은 고딕"/>
        <family val="0"/>
        <charset val="1"/>
      </rPr>
      <t xml:space="preserve">)</t>
    </r>
  </si>
  <si>
    <t xml:space="preserve">5th Ed. 2014 + Addendum 4 (2025.7)</t>
  </si>
  <si>
    <t xml:space="preserve">https://6sku3uaup9f9.din.de/en/standard/api-std-653/394283939</t>
  </si>
  <si>
    <r>
      <rPr>
        <sz val="9"/>
        <rFont val="맑은 고딕"/>
        <family val="0"/>
        <charset val="1"/>
      </rPr>
      <t xml:space="preserve">Annex B </t>
    </r>
    <r>
      <rPr>
        <sz val="9"/>
        <rFont val="Noto Sans CJK SC"/>
        <family val="2"/>
      </rPr>
      <t xml:space="preserve">내용은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차 자료</t>
    </r>
  </si>
  <si>
    <t xml:space="preserve">R37</t>
  </si>
  <si>
    <r>
      <rPr>
        <sz val="9"/>
        <rFont val="맑은 고딕"/>
        <family val="0"/>
        <charset val="1"/>
      </rPr>
      <t xml:space="preserve">API Std 2000 </t>
    </r>
    <r>
      <rPr>
        <sz val="9"/>
        <rFont val="Noto Sans CJK SC"/>
        <family val="2"/>
      </rPr>
      <t xml:space="preserve">대기압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저압 저장탱크 통기</t>
    </r>
    <r>
      <rPr>
        <sz val="9"/>
        <rFont val="맑은 고딕"/>
        <family val="0"/>
        <charset val="1"/>
      </rPr>
      <t xml:space="preserve">(Venting)</t>
    </r>
  </si>
  <si>
    <t xml:space="preserve">8th Ed. 2026.8</t>
  </si>
  <si>
    <t xml:space="preserve">https://online.standard.no/en/api-std-2000-8</t>
  </si>
  <si>
    <t xml:space="preserve">R38</t>
  </si>
  <si>
    <t xml:space="preserve">계약 표준</t>
  </si>
  <si>
    <r>
      <rPr>
        <sz val="9"/>
        <rFont val="맑은 고딕"/>
        <family val="0"/>
        <charset val="1"/>
      </rPr>
      <t xml:space="preserve">FIDIC Silver Book (EPC/Turnkey) 2017, 2022 Reprint: 1.5 </t>
    </r>
    <r>
      <rPr>
        <sz val="9"/>
        <rFont val="Noto Sans CJK SC"/>
        <family val="2"/>
      </rPr>
      <t xml:space="preserve">문서 우선순위</t>
    </r>
    <r>
      <rPr>
        <sz val="9"/>
        <rFont val="맑은 고딕"/>
        <family val="0"/>
        <charset val="1"/>
      </rPr>
      <t xml:space="preserve">, 1.14 </t>
    </r>
    <r>
      <rPr>
        <sz val="9"/>
        <rFont val="Noto Sans CJK SC"/>
        <family val="2"/>
      </rPr>
      <t xml:space="preserve">책임한도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간접손해</t>
    </r>
    <r>
      <rPr>
        <sz val="9"/>
        <rFont val="맑은 고딕"/>
        <family val="0"/>
        <charset val="1"/>
      </rPr>
      <t xml:space="preserve">, 4.2 </t>
    </r>
    <r>
      <rPr>
        <sz val="9"/>
        <rFont val="Noto Sans CJK SC"/>
        <family val="2"/>
      </rPr>
      <t xml:space="preserve">이행보증</t>
    </r>
    <r>
      <rPr>
        <sz val="9"/>
        <rFont val="맑은 고딕"/>
        <family val="0"/>
        <charset val="1"/>
      </rPr>
      <t xml:space="preserve">, 4.12 </t>
    </r>
    <r>
      <rPr>
        <sz val="9"/>
        <rFont val="Noto Sans CJK SC"/>
        <family val="2"/>
      </rPr>
      <t xml:space="preserve">예견불가 곤란</t>
    </r>
    <r>
      <rPr>
        <sz val="9"/>
        <rFont val="맑은 고딕"/>
        <family val="0"/>
        <charset val="1"/>
      </rPr>
      <t xml:space="preserve">, 5 </t>
    </r>
    <r>
      <rPr>
        <sz val="9"/>
        <rFont val="Noto Sans CJK SC"/>
        <family val="2"/>
      </rPr>
      <t xml:space="preserve">설계</t>
    </r>
    <r>
      <rPr>
        <sz val="9"/>
        <rFont val="맑은 고딕"/>
        <family val="0"/>
        <charset val="1"/>
      </rPr>
      <t xml:space="preserve">, 8.8 </t>
    </r>
    <r>
      <rPr>
        <sz val="9"/>
        <rFont val="Noto Sans CJK SC"/>
        <family val="2"/>
      </rPr>
      <t xml:space="preserve">지체배상</t>
    </r>
    <r>
      <rPr>
        <sz val="9"/>
        <rFont val="맑은 고딕"/>
        <family val="0"/>
        <charset val="1"/>
      </rPr>
      <t xml:space="preserve">, 9 </t>
    </r>
    <r>
      <rPr>
        <sz val="9"/>
        <rFont val="Noto Sans CJK SC"/>
        <family val="2"/>
      </rPr>
      <t xml:space="preserve">준공시험</t>
    </r>
    <r>
      <rPr>
        <sz val="9"/>
        <rFont val="맑은 고딕"/>
        <family val="0"/>
        <charset val="1"/>
      </rPr>
      <t xml:space="preserve">, 11 </t>
    </r>
    <r>
      <rPr>
        <sz val="9"/>
        <rFont val="Noto Sans CJK SC"/>
        <family val="2"/>
      </rPr>
      <t xml:space="preserve">하자</t>
    </r>
    <r>
      <rPr>
        <sz val="9"/>
        <rFont val="맑은 고딕"/>
        <family val="0"/>
        <charset val="1"/>
      </rPr>
      <t xml:space="preserve">(11.3 DNP </t>
    </r>
    <r>
      <rPr>
        <sz val="9"/>
        <rFont val="Noto Sans CJK SC"/>
        <family val="2"/>
      </rPr>
      <t xml:space="preserve">연장</t>
    </r>
    <r>
      <rPr>
        <sz val="9"/>
        <rFont val="맑은 고딕"/>
        <family val="0"/>
        <charset val="1"/>
      </rPr>
      <t xml:space="preserve">), 12 </t>
    </r>
    <r>
      <rPr>
        <sz val="9"/>
        <rFont val="Noto Sans CJK SC"/>
        <family val="2"/>
      </rPr>
      <t xml:space="preserve">준공후시험</t>
    </r>
    <r>
      <rPr>
        <sz val="9"/>
        <rFont val="맑은 고딕"/>
        <family val="0"/>
        <charset val="1"/>
      </rPr>
      <t xml:space="preserve">(12.4 </t>
    </r>
    <r>
      <rPr>
        <sz val="9"/>
        <rFont val="Noto Sans CJK SC"/>
        <family val="2"/>
      </rPr>
      <t xml:space="preserve">성능미달</t>
    </r>
    <r>
      <rPr>
        <sz val="9"/>
        <rFont val="맑은 고딕"/>
        <family val="0"/>
        <charset val="1"/>
      </rPr>
      <t xml:space="preserve">), 13.3 </t>
    </r>
    <r>
      <rPr>
        <sz val="9"/>
        <rFont val="Noto Sans CJK SC"/>
        <family val="2"/>
      </rPr>
      <t xml:space="preserve">변경</t>
    </r>
    <r>
      <rPr>
        <sz val="9"/>
        <rFont val="맑은 고딕"/>
        <family val="0"/>
        <charset val="1"/>
      </rPr>
      <t xml:space="preserve">, 13.6 </t>
    </r>
    <r>
      <rPr>
        <sz val="9"/>
        <rFont val="Noto Sans CJK SC"/>
        <family val="2"/>
      </rPr>
      <t xml:space="preserve">법령변경</t>
    </r>
    <r>
      <rPr>
        <sz val="9"/>
        <rFont val="맑은 고딕"/>
        <family val="0"/>
        <charset val="1"/>
      </rPr>
      <t xml:space="preserve">, 13.7 </t>
    </r>
    <r>
      <rPr>
        <sz val="9"/>
        <rFont val="Noto Sans CJK SC"/>
        <family val="2"/>
      </rPr>
      <t xml:space="preserve">비용변동 조정</t>
    </r>
    <r>
      <rPr>
        <sz val="9"/>
        <rFont val="맑은 고딕"/>
        <family val="0"/>
        <charset val="1"/>
      </rPr>
      <t xml:space="preserve">, 14.2 </t>
    </r>
    <r>
      <rPr>
        <sz val="9"/>
        <rFont val="Noto Sans CJK SC"/>
        <family val="2"/>
      </rPr>
      <t xml:space="preserve">선급금</t>
    </r>
    <r>
      <rPr>
        <sz val="9"/>
        <rFont val="맑은 고딕"/>
        <family val="0"/>
        <charset val="1"/>
      </rPr>
      <t xml:space="preserve">, 18 </t>
    </r>
    <r>
      <rPr>
        <sz val="9"/>
        <rFont val="Noto Sans CJK SC"/>
        <family val="2"/>
      </rPr>
      <t xml:space="preserve">예외적 사건</t>
    </r>
    <r>
      <rPr>
        <sz val="9"/>
        <rFont val="맑은 고딕"/>
        <family val="0"/>
        <charset val="1"/>
      </rPr>
      <t xml:space="preserve">, 21 </t>
    </r>
    <r>
      <rPr>
        <sz val="9"/>
        <rFont val="Noto Sans CJK SC"/>
        <family val="2"/>
      </rPr>
      <t xml:space="preserve">분쟁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중재</t>
    </r>
  </si>
  <si>
    <r>
      <rPr>
        <sz val="9"/>
        <rFont val="맑은 고딕"/>
        <family val="0"/>
        <charset val="1"/>
      </rPr>
      <t xml:space="preserve">2017 1st Ed. (2022 </t>
    </r>
    <r>
      <rPr>
        <sz val="9"/>
        <rFont val="Noto Sans CJK SC"/>
        <family val="2"/>
      </rPr>
      <t xml:space="preserve">개정 재인쇄</t>
    </r>
    <r>
      <rPr>
        <sz val="9"/>
        <rFont val="맑은 고딕"/>
        <family val="0"/>
        <charset val="1"/>
      </rPr>
      <t xml:space="preserve">)</t>
    </r>
  </si>
  <si>
    <t xml:space="preserve">https://bookstore.emerald.com/media/preview/9781836081814-23-2.pdf</t>
  </si>
  <si>
    <r>
      <rPr>
        <sz val="9"/>
        <rFont val="맑은 고딕"/>
        <family val="0"/>
        <charset val="1"/>
      </rPr>
      <t xml:space="preserve">Silver Book Companion </t>
    </r>
    <r>
      <rPr>
        <sz val="9"/>
        <rFont val="Noto Sans CJK SC"/>
        <family val="2"/>
      </rPr>
      <t xml:space="preserve">목차로 확인</t>
    </r>
    <r>
      <rPr>
        <sz val="9"/>
        <rFont val="맑은 고딕"/>
        <family val="0"/>
        <charset val="1"/>
      </rPr>
      <t xml:space="preserve">. 13.3 </t>
    </r>
    <r>
      <rPr>
        <sz val="9"/>
        <rFont val="Noto Sans CJK SC"/>
        <family val="2"/>
      </rPr>
      <t xml:space="preserve">번호는 </t>
    </r>
    <r>
      <rPr>
        <sz val="9"/>
        <rFont val="맑은 고딕"/>
        <family val="0"/>
        <charset val="1"/>
      </rPr>
      <t xml:space="preserve">Red Book </t>
    </r>
    <r>
      <rPr>
        <sz val="9"/>
        <rFont val="Noto Sans CJK SC"/>
        <family val="2"/>
      </rPr>
      <t xml:space="preserve">자료로 확인</t>
    </r>
    <r>
      <rPr>
        <sz val="9"/>
        <rFont val="맑은 고딕"/>
        <family val="0"/>
        <charset val="1"/>
      </rPr>
      <t xml:space="preserve">(B)</t>
    </r>
  </si>
  <si>
    <t xml:space="preserve">R39</t>
  </si>
  <si>
    <r>
      <rPr>
        <sz val="9"/>
        <rFont val="맑은 고딕"/>
        <family val="0"/>
        <charset val="1"/>
      </rPr>
      <t xml:space="preserve">FIDIC Procurement Procedures Guide (</t>
    </r>
    <r>
      <rPr>
        <sz val="9"/>
        <rFont val="Noto Sans CJK SC"/>
        <family val="2"/>
      </rPr>
      <t xml:space="preserve">입찰 절차 지침</t>
    </r>
    <r>
      <rPr>
        <sz val="9"/>
        <rFont val="맑은 고딕"/>
        <family val="0"/>
        <charset val="1"/>
      </rPr>
      <t xml:space="preserve">)</t>
    </r>
  </si>
  <si>
    <t xml:space="preserve">1st Ed. 2011</t>
  </si>
  <si>
    <t xml:space="preserve">https://pdfcoffee.com/fidic-procurement-guide-pdf-free.html</t>
  </si>
  <si>
    <r>
      <rPr>
        <sz val="9"/>
        <rFont val="맑은 고딕"/>
        <family val="0"/>
        <charset val="1"/>
      </rPr>
      <t xml:space="preserve">2019</t>
    </r>
    <r>
      <rPr>
        <sz val="9"/>
        <rFont val="Noto Sans CJK SC"/>
        <family val="2"/>
      </rPr>
      <t xml:space="preserve">판 존재 여부 미확인</t>
    </r>
  </si>
  <si>
    <t xml:space="preserve">R40</t>
  </si>
  <si>
    <r>
      <rPr>
        <sz val="9"/>
        <rFont val="맑은 고딕"/>
        <family val="0"/>
        <charset val="1"/>
      </rPr>
      <t xml:space="preserve">API Spec 12F </t>
    </r>
    <r>
      <rPr>
        <sz val="9"/>
        <rFont val="Noto Sans CJK SC"/>
        <family val="2"/>
      </rPr>
      <t xml:space="preserve">공장 용접 소형 저장탱크</t>
    </r>
  </si>
  <si>
    <r>
      <rPr>
        <sz val="9"/>
        <rFont val="맑은 고딕"/>
        <family val="0"/>
        <charset val="1"/>
      </rPr>
      <t xml:space="preserve">2024.11 </t>
    </r>
    <r>
      <rPr>
        <sz val="9"/>
        <rFont val="Noto Sans CJK SC"/>
        <family val="2"/>
      </rPr>
      <t xml:space="preserve">개정판 존재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판 번호 미확인</t>
    </r>
    <r>
      <rPr>
        <sz val="9"/>
        <rFont val="맑은 고딕"/>
        <family val="0"/>
        <charset val="1"/>
      </rPr>
      <t xml:space="preserve">)</t>
    </r>
  </si>
  <si>
    <t xml:space="preserve">https://online.standard.no/en/api-spec-12f-13</t>
  </si>
  <si>
    <t xml:space="preserve">R41</t>
  </si>
  <si>
    <r>
      <rPr>
        <sz val="9"/>
        <rFont val="맑은 고딕"/>
        <family val="0"/>
        <charset val="1"/>
      </rPr>
      <t xml:space="preserve">ASME BPVC Section VIII Div.1/Div.2 </t>
    </r>
    <r>
      <rPr>
        <sz val="9"/>
        <rFont val="Noto Sans CJK SC"/>
        <family val="2"/>
      </rPr>
      <t xml:space="preserve">압력용기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구형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횡형 압력 저장탱크 설계</t>
    </r>
    <r>
      <rPr>
        <sz val="9"/>
        <rFont val="맑은 고딕"/>
        <family val="0"/>
        <charset val="1"/>
      </rPr>
      <t xml:space="preserve">)</t>
    </r>
  </si>
  <si>
    <t xml:space="preserve">현행판 미확인</t>
  </si>
  <si>
    <t xml:space="preserve">https://www.asme.org</t>
  </si>
  <si>
    <t xml:space="preserve">판·조항 미확인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</si>
</sst>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#,##0"/>
    <numFmt numFmtId="167" formatCode="0.0%"/>
    <numFmt numFmtId="168" formatCode="General"/>
    <numFmt numFmtId="169" formatCode="0.00"/>
    <numFmt numFmtId="170" formatCode="0.0"/>
    <numFmt numFmtId="171" formatCode="#,##0.0"/>
    <numFmt numFmtId="172" formatCode="\$#,##0;&quot;($&quot;#,##0\);\-"/>
    <numFmt numFmtId="173" formatCode="0.0%;\(0.0%\);\-"/>
    <numFmt numFmtId="174" formatCode="0.000"/>
    <numFmt numFmtId="175" formatCode="0.00\배"/>
    <numFmt numFmtId="176" formatCode="0%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Noto Sans CJK SC"/>
      <family val="2"/>
      <charset val="1"/>
    </font>
    <font>
      <sz val="11"/>
      <color rgb="FF666666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</font>
    <font>
      <b val="true"/>
      <sz val="12"/>
      <color rgb="FF0080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  <charset val="1"/>
    </font>
    <font>
      <sz val="10"/>
      <color rgb="FF008000"/>
      <name val="Noto Sans CJK SC"/>
      <family val="2"/>
      <charset val="1"/>
    </font>
    <font>
      <i val="true"/>
      <sz val="9"/>
      <color rgb="FFC00000"/>
      <name val="Noto Sans CJK SC"/>
      <family val="2"/>
      <charset val="1"/>
    </font>
    <font>
      <b val="true"/>
      <sz val="16"/>
      <name val="맑은 고딕"/>
      <family val="0"/>
      <charset val="1"/>
    </font>
    <font>
      <b val="true"/>
      <sz val="16"/>
      <name val="Noto Sans CJK SC"/>
      <family val="2"/>
    </font>
    <font>
      <i val="true"/>
      <sz val="9"/>
      <color rgb="FF666666"/>
      <name val="Noto Sans CJK SC"/>
      <family val="2"/>
      <charset val="1"/>
    </font>
    <font>
      <sz val="10"/>
      <name val="맑은 고딕"/>
      <family val="0"/>
      <charset val="1"/>
    </font>
    <font>
      <sz val="9"/>
      <color rgb="FFC00000"/>
      <name val="Noto Sans CJK SC"/>
      <family val="2"/>
      <charset val="1"/>
    </font>
    <font>
      <sz val="9"/>
      <color rgb="FF666666"/>
      <name val="맑은 고딕"/>
      <family val="0"/>
      <charset val="1"/>
    </font>
    <font>
      <sz val="9"/>
      <color rgb="FF666666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1"/>
      <name val="맑은 고딕"/>
      <family val="0"/>
      <charset val="1"/>
    </font>
    <font>
      <b val="true"/>
      <sz val="11"/>
      <name val="Noto Sans CJK SC"/>
      <family val="2"/>
    </font>
    <font>
      <sz val="9"/>
      <name val="Noto Sans CJK SC"/>
      <family val="2"/>
      <charset val="1"/>
    </font>
    <font>
      <sz val="10"/>
      <name val="Noto Sans CJK SC"/>
      <family val="2"/>
    </font>
    <font>
      <sz val="9"/>
      <name val="맑은 고딕"/>
      <family val="0"/>
      <charset val="1"/>
    </font>
    <font>
      <sz val="9"/>
      <name val="Noto Sans CJK SC"/>
      <family val="2"/>
    </font>
    <font>
      <b val="true"/>
      <sz val="16"/>
      <name val="Noto Sans CJK SC"/>
      <family val="2"/>
      <charset val="1"/>
    </font>
    <font>
      <b val="true"/>
      <sz val="10"/>
      <color rgb="FFC00000"/>
      <name val="Noto Sans CJK SC"/>
      <family val="2"/>
      <charset val="1"/>
    </font>
    <font>
      <b val="true"/>
      <sz val="12"/>
      <name val="맑은 고딕"/>
      <family val="0"/>
      <charset val="1"/>
    </font>
    <font>
      <b val="true"/>
      <sz val="12"/>
      <name val="Noto Sans CJK SC"/>
      <family val="2"/>
    </font>
    <font>
      <i val="true"/>
      <sz val="9"/>
      <color rgb="FF666666"/>
      <name val="맑은 고딕"/>
      <family val="0"/>
      <charset val="1"/>
    </font>
    <font>
      <i val="true"/>
      <sz val="9"/>
      <color rgb="FF666666"/>
      <name val="Noto Sans CJK SC"/>
      <family val="2"/>
    </font>
    <font>
      <b val="true"/>
      <sz val="12"/>
      <name val="Noto Sans CJK SC"/>
      <family val="2"/>
      <charset val="1"/>
    </font>
    <font>
      <b val="true"/>
      <sz val="10"/>
      <color rgb="FFFFFFFF"/>
      <name val="Noto Sans CJK SC"/>
      <family val="2"/>
    </font>
    <font>
      <sz val="10"/>
      <color rgb="FF008000"/>
      <name val="맑은 고딕"/>
      <family val="0"/>
      <charset val="1"/>
    </font>
    <font>
      <sz val="9"/>
      <color rgb="FF666666"/>
      <name val="Noto Sans CJK SC"/>
      <family val="2"/>
      <charset val="1"/>
    </font>
    <font>
      <u val="single"/>
      <sz val="9"/>
      <color rgb="FF0563C1"/>
      <name val="맑은 고딕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EDEDED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taxcanvas.kr/core/law/0097072025080535696/history/2025-08-07" TargetMode="External"/><Relationship Id="rId2" Type="http://schemas.openxmlformats.org/officeDocument/2006/relationships/hyperlink" Target="https://www.kfsi.or.kr/contents/webzine/202003/sub02-01.html" TargetMode="External"/><Relationship Id="rId3" Type="http://schemas.openxmlformats.org/officeDocument/2006/relationships/hyperlink" Target="https://elaw.klri.re.kr/kor_service/lawViewTitle.do?hseq=64986" TargetMode="External"/><Relationship Id="rId4" Type="http://schemas.openxmlformats.org/officeDocument/2006/relationships/hyperlink" Target="https://www.esafetykorea.or.kr/" TargetMode="External"/><Relationship Id="rId5" Type="http://schemas.openxmlformats.org/officeDocument/2006/relationships/hyperlink" Target="https://www.koscaj.com/news/articleView.html?idxno=311178" TargetMode="External"/><Relationship Id="rId6" Type="http://schemas.openxmlformats.org/officeDocument/2006/relationships/hyperlink" Target="https://www.lawtalk.co.kr/posts/165966" TargetMode="External"/><Relationship Id="rId7" Type="http://schemas.openxmlformats.org/officeDocument/2006/relationships/hyperlink" Target="https://www.nepla.ai/law/&#44256;&#50517;&#44032;&#49828;&#50504;&#51204;&#44288;&#47532;&#48277;" TargetMode="External"/><Relationship Id="rId8" Type="http://schemas.openxmlformats.org/officeDocument/2006/relationships/hyperlink" Target="https://tour.gunsan.go.kr/_cms/board/eFileDownload/111/941653/72ce799e30239c962e6616e382d24dea" TargetMode="External"/><Relationship Id="rId9" Type="http://schemas.openxmlformats.org/officeDocument/2006/relationships/hyperlink" Target="https://hseworld.co.kr/36" TargetMode="External"/><Relationship Id="rId10" Type="http://schemas.openxmlformats.org/officeDocument/2006/relationships/hyperlink" Target="https://www.kim2kie.com/res/html/0_formula/00%20Dynamics/KDS%2041/KDS%2041%2017%2000.pdf" TargetMode="External"/><Relationship Id="rId11" Type="http://schemas.openxmlformats.org/officeDocument/2006/relationships/hyperlink" Target="https://www.kgs.or.kr/" TargetMode="External"/><Relationship Id="rId12" Type="http://schemas.openxmlformats.org/officeDocument/2006/relationships/hyperlink" Target="https://epcland.com/asme-b31-3-pressure-leak-test-2/" TargetMode="External"/><Relationship Id="rId13" Type="http://schemas.openxmlformats.org/officeDocument/2006/relationships/hyperlink" Target="https://webstore.ansi.org/standards/nace/ansinacemr01752021iso151562020" TargetMode="External"/><Relationship Id="rId14" Type="http://schemas.openxmlformats.org/officeDocument/2006/relationships/hyperlink" Target="https://webstore.ansi.org/standards/nace/ansinacemr01032015iso17945" TargetMode="External"/><Relationship Id="rId15" Type="http://schemas.openxmlformats.org/officeDocument/2006/relationships/hyperlink" Target="https://www.dinmedia.de/en/technical-rule/api-rp-941/328516281" TargetMode="External"/><Relationship Id="rId16" Type="http://schemas.openxmlformats.org/officeDocument/2006/relationships/hyperlink" Target="https://www.api.org/-/media/Files/Certification/ICP/ICP-Certification-Programs/653/2026%20files/March%202027_653_Publications%20Effectivity%20sheet_final.pdf" TargetMode="External"/><Relationship Id="rId17" Type="http://schemas.openxmlformats.org/officeDocument/2006/relationships/hyperlink" Target="https://eshop.normservis.sk/norma/apistd-598-1.2.2023.html" TargetMode="External"/><Relationship Id="rId18" Type="http://schemas.openxmlformats.org/officeDocument/2006/relationships/hyperlink" Target="https://www.api.org/products-and-services/standards/important-standards-announcements/spec6d" TargetMode="External"/><Relationship Id="rId19" Type="http://schemas.openxmlformats.org/officeDocument/2006/relationships/hyperlink" Target="https://eshop.normservis.sk/norma/apistd-607-ed-8-1.10.2022.html" TargetMode="External"/><Relationship Id="rId20" Type="http://schemas.openxmlformats.org/officeDocument/2006/relationships/hyperlink" Target="https://www.iso.org/standard/61441.html" TargetMode="External"/><Relationship Id="rId21" Type="http://schemas.openxmlformats.org/officeDocument/2006/relationships/hyperlink" Target="https://wermac.org/din/en10204.html" TargetMode="External"/><Relationship Id="rId22" Type="http://schemas.openxmlformats.org/officeDocument/2006/relationships/hyperlink" Target="https://online.standard.no/en/api-rp-2201" TargetMode="External"/><Relationship Id="rId23" Type="http://schemas.openxmlformats.org/officeDocument/2006/relationships/hyperlink" Target="https://eshop.normservis.sk/norma/apirp-2218-ed-3-1.3.2020.html" TargetMode="External"/><Relationship Id="rId24" Type="http://schemas.openxmlformats.org/officeDocument/2006/relationships/hyperlink" Target="https://eshop.normservis.sk/norma/apistd-521-31.5.2020.html" TargetMode="External"/><Relationship Id="rId25" Type="http://schemas.openxmlformats.org/officeDocument/2006/relationships/hyperlink" Target="https://online.standard.no/nb/api-std-537-8" TargetMode="External"/><Relationship Id="rId26" Type="http://schemas.openxmlformats.org/officeDocument/2006/relationships/hyperlink" Target="https://webstore.iec.ch/publication/63327" TargetMode="External"/><Relationship Id="rId27" Type="http://schemas.openxmlformats.org/officeDocument/2006/relationships/hyperlink" Target="https://dinmedia.de/en/technical-rule/api-rp-505/296066690" TargetMode="External"/><Relationship Id="rId28" Type="http://schemas.openxmlformats.org/officeDocument/2006/relationships/hyperlink" Target="https://www.evs.ee/en/iso-8501-1-2007" TargetMode="External"/><Relationship Id="rId29" Type="http://schemas.openxmlformats.org/officeDocument/2006/relationships/hyperlink" Target="https://epcland.com/aace-estimate-classification-system/" TargetMode="External"/><Relationship Id="rId30" Type="http://schemas.openxmlformats.org/officeDocument/2006/relationships/hyperlink" Target="https://shop.elsevier.com/books/estimators-piping-man-hour-manual/page/978-0-88415-259-0" TargetMode="External"/><Relationship Id="rId31" Type="http://schemas.openxmlformats.org/officeDocument/2006/relationships/hyperlink" Target="https://www.eng-tips.com/viewthread.cfm?qid=499830" TargetMode="External"/><Relationship Id="rId32" Type="http://schemas.openxmlformats.org/officeDocument/2006/relationships/hyperlink" Target="https://www.dinmedia.de/en/standard/api-std-650/394730646" TargetMode="External"/><Relationship Id="rId33" Type="http://schemas.openxmlformats.org/officeDocument/2006/relationships/hyperlink" Target="https://www.dinmedia.de/en/standard/api-std-620/390848206" TargetMode="External"/><Relationship Id="rId34" Type="http://schemas.openxmlformats.org/officeDocument/2006/relationships/hyperlink" Target="https://www.dinmedia.de/en/standard/api-std-625/389977817" TargetMode="External"/><Relationship Id="rId35" Type="http://schemas.openxmlformats.org/officeDocument/2006/relationships/hyperlink" Target="https://eshop.normservis.sk/norma/apirp-651-1.8.2024.html" TargetMode="External"/><Relationship Id="rId36" Type="http://schemas.openxmlformats.org/officeDocument/2006/relationships/hyperlink" Target="https://6sku3uaup9f9.din.de/en/standard/api-std-653/394283939" TargetMode="External"/><Relationship Id="rId37" Type="http://schemas.openxmlformats.org/officeDocument/2006/relationships/hyperlink" Target="https://online.standard.no/en/api-std-2000-8" TargetMode="External"/><Relationship Id="rId38" Type="http://schemas.openxmlformats.org/officeDocument/2006/relationships/hyperlink" Target="https://bookstore.emerald.com/media/preview/9781836081814-23-2.pdf" TargetMode="External"/><Relationship Id="rId39" Type="http://schemas.openxmlformats.org/officeDocument/2006/relationships/hyperlink" Target="https://pdfcoffee.com/fidic-procurement-guide-pdf-free.html" TargetMode="External"/><Relationship Id="rId40" Type="http://schemas.openxmlformats.org/officeDocument/2006/relationships/hyperlink" Target="https://online.standard.no/en/api-spec-12f-13" TargetMode="External"/><Relationship Id="rId41" Type="http://schemas.openxmlformats.org/officeDocument/2006/relationships/hyperlink" Target="https://www.asme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50"/>
  </cols>
  <sheetData>
    <row r="2" customFormat="false" ht="30" hidden="false" customHeight="true" outlineLevel="0" collapsed="false">
      <c r="B2" s="2" t="s">
        <v>0</v>
      </c>
    </row>
    <row r="3" customFormat="false" ht="16.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6" t="s">
        <v>7</v>
      </c>
    </row>
    <row r="8" customFormat="false" ht="15" hidden="false" customHeight="true" outlineLevel="0" collapsed="false">
      <c r="B8" s="4" t="s">
        <v>8</v>
      </c>
      <c r="C8" s="5" t="s">
        <v>9</v>
      </c>
    </row>
    <row r="9" customFormat="false" ht="15" hidden="false" customHeight="true" outlineLevel="0" collapsed="false">
      <c r="B9" s="4" t="s">
        <v>10</v>
      </c>
      <c r="C9" s="6" t="s">
        <v>11</v>
      </c>
    </row>
    <row r="10" customFormat="false" ht="15" hidden="false" customHeight="true" outlineLevel="0" collapsed="false">
      <c r="B10" s="4" t="s">
        <v>12</v>
      </c>
      <c r="C10" s="5" t="s">
        <v>13</v>
      </c>
    </row>
    <row r="11" customFormat="false" ht="15" hidden="false" customHeight="true" outlineLevel="0" collapsed="false">
      <c r="B11" s="4" t="s">
        <v>14</v>
      </c>
      <c r="C11" s="6" t="s">
        <v>15</v>
      </c>
    </row>
    <row r="12" customFormat="false" ht="15" hidden="false" customHeight="true" outlineLevel="0" collapsed="false">
      <c r="B12" s="4" t="s">
        <v>16</v>
      </c>
      <c r="C12" s="6" t="s">
        <v>17</v>
      </c>
    </row>
    <row r="13" customFormat="false" ht="15" hidden="false" customHeight="true" outlineLevel="0" collapsed="false">
      <c r="B13" s="4" t="s">
        <v>18</v>
      </c>
      <c r="C13" s="5" t="s">
        <v>19</v>
      </c>
    </row>
    <row r="14" customFormat="false" ht="15" hidden="false" customHeight="true" outlineLevel="0" collapsed="false">
      <c r="B14" s="4" t="s">
        <v>20</v>
      </c>
      <c r="C14" s="5" t="s">
        <v>21</v>
      </c>
    </row>
    <row r="15" customFormat="false" ht="15" hidden="false" customHeight="true" outlineLevel="0" collapsed="false">
      <c r="B15" s="4" t="s">
        <v>22</v>
      </c>
      <c r="C15" s="5" t="s">
        <v>23</v>
      </c>
    </row>
    <row r="17" customFormat="false" ht="15" hidden="false" customHeight="true" outlineLevel="0" collapsed="false">
      <c r="B17" s="7" t="s">
        <v>24</v>
      </c>
      <c r="C17" s="8" t="n">
        <f aca="false">총괄표!B17</f>
        <v>105355436917.054</v>
      </c>
    </row>
    <row r="18" customFormat="false" ht="15" hidden="false" customHeight="true" outlineLevel="0" collapsed="false">
      <c r="B18" s="7" t="s">
        <v>25</v>
      </c>
      <c r="C18" s="8" t="n">
        <f aca="false">총괄표!B19</f>
        <v>115890980608.759</v>
      </c>
    </row>
    <row r="20" customFormat="false" ht="15" hidden="false" customHeight="true" outlineLevel="0" collapsed="false">
      <c r="B20" s="9" t="s">
        <v>26</v>
      </c>
    </row>
    <row r="21" customFormat="false" ht="15" hidden="false" customHeight="true" outlineLevel="0" collapsed="false">
      <c r="B21" s="5" t="s">
        <v>27</v>
      </c>
      <c r="C21" s="10" t="s">
        <v>28</v>
      </c>
    </row>
    <row r="22" customFormat="false" ht="15" hidden="false" customHeight="true" outlineLevel="0" collapsed="false">
      <c r="B22" s="11" t="s">
        <v>29</v>
      </c>
      <c r="C22" s="10" t="s">
        <v>30</v>
      </c>
    </row>
    <row r="23" customFormat="false" ht="15" hidden="false" customHeight="true" outlineLevel="0" collapsed="false">
      <c r="B23" s="10" t="s">
        <v>31</v>
      </c>
      <c r="C23" s="10" t="s">
        <v>32</v>
      </c>
    </row>
    <row r="24" customFormat="false" ht="15" hidden="false" customHeight="true" outlineLevel="0" collapsed="false">
      <c r="B24" s="12" t="s">
        <v>33</v>
      </c>
      <c r="C24" s="10" t="s">
        <v>34</v>
      </c>
    </row>
    <row r="26" customFormat="false" ht="15" hidden="false" customHeight="true" outlineLevel="0" collapsed="false">
      <c r="B26" s="1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52"/>
    <col collapsed="false" customWidth="true" hidden="false" outlineLevel="0" max="7" min="6" style="1" width="11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30"/>
    <col collapsed="false" customWidth="true" hidden="false" outlineLevel="0" max="11" min="11" style="1" width="58"/>
    <col collapsed="false" customWidth="true" hidden="false" outlineLevel="0" max="12" min="12" style="1" width="9"/>
  </cols>
  <sheetData>
    <row r="1" customFormat="false" ht="23.25" hidden="false" customHeight="true" outlineLevel="0" collapsed="false">
      <c r="A1" s="14" t="s">
        <v>36</v>
      </c>
      <c r="I1" s="15" t="s">
        <v>37</v>
      </c>
    </row>
    <row r="2" customFormat="false" ht="15" hidden="false" customHeight="true" outlineLevel="0" collapsed="false">
      <c r="A2" s="16" t="s">
        <v>38</v>
      </c>
      <c r="I2" s="17" t="s">
        <v>39</v>
      </c>
      <c r="J2" s="18" t="n">
        <f aca="false">COUNTA(D10:D95)</f>
        <v>74</v>
      </c>
    </row>
    <row r="3" customFormat="false" ht="15" hidden="false" customHeight="true" outlineLevel="0" collapsed="false">
      <c r="A3" s="19" t="s">
        <v>40</v>
      </c>
      <c r="I3" s="17" t="s">
        <v>41</v>
      </c>
      <c r="J3" s="18" t="n">
        <f aca="false">COUNTIF(F10:F95,"완료")</f>
        <v>1</v>
      </c>
    </row>
    <row r="4" customFormat="false" ht="15" hidden="false" customHeight="true" outlineLevel="0" collapsed="false">
      <c r="I4" s="17" t="s">
        <v>42</v>
      </c>
      <c r="J4" s="18" t="n">
        <f aca="false">COUNTIF(F10:F95,"확인중")</f>
        <v>0</v>
      </c>
    </row>
    <row r="5" customFormat="false" ht="15" hidden="false" customHeight="true" outlineLevel="0" collapsed="false">
      <c r="I5" s="17" t="s">
        <v>43</v>
      </c>
      <c r="J5" s="18" t="n">
        <f aca="false">COUNTIF(F10:F95,"질의필요")</f>
        <v>0</v>
      </c>
    </row>
    <row r="6" customFormat="false" ht="15" hidden="false" customHeight="true" outlineLevel="0" collapsed="false">
      <c r="I6" s="17" t="s">
        <v>44</v>
      </c>
      <c r="J6" s="18" t="n">
        <f aca="false">J2-J3-J4-J5-J8</f>
        <v>73</v>
      </c>
    </row>
    <row r="7" customFormat="false" ht="15" hidden="false" customHeight="true" outlineLevel="0" collapsed="false">
      <c r="I7" s="17" t="s">
        <v>45</v>
      </c>
      <c r="J7" s="20" t="n">
        <f aca="false">IF(J2-J8=0,0,J3/(J2-J8))</f>
        <v>0.0135135135135135</v>
      </c>
      <c r="K7" s="21" t="s">
        <v>46</v>
      </c>
    </row>
    <row r="8" customFormat="false" ht="15" hidden="false" customHeight="true" outlineLevel="0" collapsed="false">
      <c r="I8" s="17" t="s">
        <v>47</v>
      </c>
      <c r="J8" s="22" t="n">
        <f aca="false">COUNTIF(F10:F95,"해당없음")</f>
        <v>0</v>
      </c>
    </row>
    <row r="9" customFormat="false" ht="30" hidden="false" customHeight="true" outlineLevel="0" collapsed="false">
      <c r="A9" s="23" t="s">
        <v>48</v>
      </c>
      <c r="B9" s="24" t="s">
        <v>49</v>
      </c>
      <c r="C9" s="24" t="s">
        <v>50</v>
      </c>
      <c r="D9" s="24" t="s">
        <v>51</v>
      </c>
      <c r="E9" s="24" t="s">
        <v>52</v>
      </c>
      <c r="F9" s="24" t="s">
        <v>53</v>
      </c>
      <c r="G9" s="24" t="s">
        <v>54</v>
      </c>
      <c r="H9" s="24" t="s">
        <v>55</v>
      </c>
      <c r="I9" s="24" t="s">
        <v>56</v>
      </c>
      <c r="J9" s="24" t="s">
        <v>57</v>
      </c>
      <c r="K9" s="24" t="s">
        <v>58</v>
      </c>
      <c r="L9" s="24" t="s">
        <v>59</v>
      </c>
    </row>
    <row r="10" customFormat="false" ht="16.5" hidden="false" customHeight="true" outlineLevel="0" collapsed="false">
      <c r="A10" s="25" t="s">
        <v>60</v>
      </c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6"/>
    </row>
    <row r="11" customFormat="false" ht="15" hidden="false" customHeight="true" outlineLevel="0" collapsed="false">
      <c r="A11" s="27" t="n">
        <v>1</v>
      </c>
      <c r="B11" s="28" t="s">
        <v>61</v>
      </c>
      <c r="C11" s="29" t="s">
        <v>62</v>
      </c>
      <c r="D11" s="29" t="s">
        <v>63</v>
      </c>
      <c r="E11" s="29" t="s">
        <v>64</v>
      </c>
      <c r="F11" s="30" t="s">
        <v>41</v>
      </c>
      <c r="G11" s="30" t="s">
        <v>65</v>
      </c>
      <c r="H11" s="30" t="s">
        <v>66</v>
      </c>
      <c r="I11" s="31" t="s">
        <v>67</v>
      </c>
      <c r="J11" s="32" t="s">
        <v>68</v>
      </c>
      <c r="K11" s="33" t="s">
        <v>69</v>
      </c>
      <c r="L11" s="34" t="s">
        <v>70</v>
      </c>
    </row>
    <row r="12" customFormat="false" ht="15" hidden="false" customHeight="true" outlineLevel="0" collapsed="false">
      <c r="A12" s="22" t="n">
        <v>2</v>
      </c>
      <c r="B12" s="35" t="s">
        <v>61</v>
      </c>
      <c r="C12" s="10" t="s">
        <v>62</v>
      </c>
      <c r="D12" s="10" t="s">
        <v>71</v>
      </c>
      <c r="E12" s="10" t="s">
        <v>72</v>
      </c>
      <c r="F12" s="36"/>
      <c r="G12" s="36"/>
      <c r="H12" s="36"/>
      <c r="I12" s="36"/>
      <c r="J12" s="6"/>
      <c r="K12" s="33" t="s">
        <v>69</v>
      </c>
      <c r="L12" s="34" t="s">
        <v>70</v>
      </c>
    </row>
    <row r="13" customFormat="false" ht="15" hidden="false" customHeight="true" outlineLevel="0" collapsed="false">
      <c r="A13" s="35" t="n">
        <v>3</v>
      </c>
      <c r="B13" s="35" t="s">
        <v>61</v>
      </c>
      <c r="C13" s="10" t="s">
        <v>62</v>
      </c>
      <c r="D13" s="10" t="s">
        <v>73</v>
      </c>
      <c r="E13" s="10" t="s">
        <v>74</v>
      </c>
      <c r="F13" s="36"/>
      <c r="G13" s="36"/>
      <c r="H13" s="36"/>
      <c r="I13" s="36"/>
      <c r="J13" s="6"/>
      <c r="K13" s="33" t="s">
        <v>69</v>
      </c>
      <c r="L13" s="34" t="s">
        <v>70</v>
      </c>
    </row>
    <row r="14" customFormat="false" ht="15" hidden="false" customHeight="true" outlineLevel="0" collapsed="false">
      <c r="A14" s="35" t="n">
        <v>4</v>
      </c>
      <c r="B14" s="35" t="s">
        <v>61</v>
      </c>
      <c r="C14" s="10" t="s">
        <v>62</v>
      </c>
      <c r="D14" s="10" t="s">
        <v>75</v>
      </c>
      <c r="E14" s="10" t="s">
        <v>76</v>
      </c>
      <c r="F14" s="36"/>
      <c r="G14" s="36"/>
      <c r="H14" s="36"/>
      <c r="I14" s="36"/>
      <c r="J14" s="6"/>
      <c r="K14" s="33" t="s">
        <v>69</v>
      </c>
      <c r="L14" s="34" t="s">
        <v>70</v>
      </c>
    </row>
    <row r="15" customFormat="false" ht="15" hidden="false" customHeight="true" outlineLevel="0" collapsed="false">
      <c r="A15" s="35" t="n">
        <v>5</v>
      </c>
      <c r="B15" s="35" t="s">
        <v>61</v>
      </c>
      <c r="C15" s="10" t="s">
        <v>62</v>
      </c>
      <c r="D15" s="10" t="s">
        <v>77</v>
      </c>
      <c r="E15" s="10" t="s">
        <v>78</v>
      </c>
      <c r="F15" s="36"/>
      <c r="G15" s="36"/>
      <c r="H15" s="36"/>
      <c r="I15" s="36"/>
      <c r="J15" s="6"/>
      <c r="K15" s="33" t="s">
        <v>69</v>
      </c>
      <c r="L15" s="34" t="s">
        <v>70</v>
      </c>
    </row>
    <row r="16" customFormat="false" ht="15" hidden="false" customHeight="true" outlineLevel="0" collapsed="false">
      <c r="A16" s="35" t="n">
        <v>6</v>
      </c>
      <c r="B16" s="35" t="s">
        <v>61</v>
      </c>
      <c r="C16" s="10" t="s">
        <v>62</v>
      </c>
      <c r="D16" s="10" t="s">
        <v>79</v>
      </c>
      <c r="E16" s="10" t="s">
        <v>80</v>
      </c>
      <c r="F16" s="36"/>
      <c r="G16" s="36"/>
      <c r="H16" s="36"/>
      <c r="I16" s="36"/>
      <c r="J16" s="6"/>
      <c r="K16" s="33" t="s">
        <v>69</v>
      </c>
      <c r="L16" s="34" t="s">
        <v>70</v>
      </c>
    </row>
    <row r="17" customFormat="false" ht="16.5" hidden="false" customHeight="true" outlineLevel="0" collapsed="false">
      <c r="A17" s="25" t="s">
        <v>81</v>
      </c>
      <c r="B17" s="25"/>
      <c r="C17" s="25"/>
      <c r="D17" s="25"/>
      <c r="E17" s="25"/>
      <c r="F17" s="25"/>
      <c r="G17" s="25"/>
      <c r="H17" s="25"/>
      <c r="I17" s="25"/>
      <c r="J17" s="25"/>
      <c r="K17" s="26"/>
      <c r="L17" s="26"/>
    </row>
    <row r="18" customFormat="false" ht="15" hidden="false" customHeight="true" outlineLevel="0" collapsed="false">
      <c r="A18" s="35" t="n">
        <v>7</v>
      </c>
      <c r="B18" s="22" t="s">
        <v>82</v>
      </c>
      <c r="C18" s="10" t="s">
        <v>83</v>
      </c>
      <c r="D18" s="10" t="s">
        <v>84</v>
      </c>
      <c r="E18" s="10" t="s">
        <v>85</v>
      </c>
      <c r="F18" s="36"/>
      <c r="G18" s="36"/>
      <c r="H18" s="36"/>
      <c r="I18" s="36"/>
      <c r="J18" s="6"/>
      <c r="K18" s="33" t="s">
        <v>86</v>
      </c>
      <c r="L18" s="34" t="s">
        <v>70</v>
      </c>
    </row>
    <row r="19" customFormat="false" ht="15" hidden="false" customHeight="true" outlineLevel="0" collapsed="false">
      <c r="A19" s="35" t="n">
        <v>8</v>
      </c>
      <c r="B19" s="22" t="s">
        <v>82</v>
      </c>
      <c r="C19" s="10" t="s">
        <v>83</v>
      </c>
      <c r="D19" s="10" t="s">
        <v>87</v>
      </c>
      <c r="E19" s="10" t="s">
        <v>88</v>
      </c>
      <c r="F19" s="36"/>
      <c r="G19" s="36"/>
      <c r="H19" s="36"/>
      <c r="I19" s="36"/>
      <c r="J19" s="6"/>
      <c r="K19" s="33" t="s">
        <v>86</v>
      </c>
      <c r="L19" s="34" t="s">
        <v>70</v>
      </c>
    </row>
    <row r="20" customFormat="false" ht="15" hidden="false" customHeight="true" outlineLevel="0" collapsed="false">
      <c r="A20" s="35" t="n">
        <v>9</v>
      </c>
      <c r="B20" s="22" t="s">
        <v>82</v>
      </c>
      <c r="C20" s="10" t="s">
        <v>83</v>
      </c>
      <c r="D20" s="10" t="s">
        <v>89</v>
      </c>
      <c r="E20" s="10" t="s">
        <v>90</v>
      </c>
      <c r="F20" s="36"/>
      <c r="G20" s="36"/>
      <c r="H20" s="36"/>
      <c r="I20" s="36"/>
      <c r="J20" s="6"/>
      <c r="K20" s="33" t="s">
        <v>86</v>
      </c>
      <c r="L20" s="34" t="s">
        <v>70</v>
      </c>
    </row>
    <row r="21" customFormat="false" ht="15" hidden="false" customHeight="true" outlineLevel="0" collapsed="false">
      <c r="A21" s="35" t="n">
        <v>10</v>
      </c>
      <c r="B21" s="22" t="s">
        <v>82</v>
      </c>
      <c r="C21" s="10" t="s">
        <v>83</v>
      </c>
      <c r="D21" s="10" t="s">
        <v>91</v>
      </c>
      <c r="E21" s="37" t="s">
        <v>92</v>
      </c>
      <c r="F21" s="36"/>
      <c r="G21" s="36"/>
      <c r="H21" s="36"/>
      <c r="I21" s="36"/>
      <c r="J21" s="6"/>
      <c r="K21" s="33" t="s">
        <v>86</v>
      </c>
      <c r="L21" s="34" t="s">
        <v>70</v>
      </c>
    </row>
    <row r="22" customFormat="false" ht="15" hidden="false" customHeight="true" outlineLevel="0" collapsed="false">
      <c r="A22" s="35" t="n">
        <v>11</v>
      </c>
      <c r="B22" s="22" t="s">
        <v>82</v>
      </c>
      <c r="C22" s="10" t="s">
        <v>83</v>
      </c>
      <c r="D22" s="10" t="s">
        <v>93</v>
      </c>
      <c r="E22" s="10" t="s">
        <v>94</v>
      </c>
      <c r="F22" s="36"/>
      <c r="G22" s="36"/>
      <c r="H22" s="36"/>
      <c r="I22" s="36"/>
      <c r="J22" s="6"/>
      <c r="K22" s="33" t="s">
        <v>86</v>
      </c>
      <c r="L22" s="34" t="s">
        <v>70</v>
      </c>
    </row>
    <row r="23" customFormat="false" ht="15" hidden="false" customHeight="true" outlineLevel="0" collapsed="false">
      <c r="A23" s="35" t="n">
        <v>12</v>
      </c>
      <c r="B23" s="22" t="s">
        <v>82</v>
      </c>
      <c r="C23" s="10" t="s">
        <v>83</v>
      </c>
      <c r="D23" s="10" t="s">
        <v>18</v>
      </c>
      <c r="E23" s="10" t="s">
        <v>95</v>
      </c>
      <c r="F23" s="36"/>
      <c r="G23" s="36"/>
      <c r="H23" s="36"/>
      <c r="I23" s="36"/>
      <c r="J23" s="6"/>
      <c r="K23" s="33" t="s">
        <v>86</v>
      </c>
      <c r="L23" s="34" t="s">
        <v>70</v>
      </c>
    </row>
    <row r="24" customFormat="false" ht="15" hidden="false" customHeight="true" outlineLevel="0" collapsed="false">
      <c r="A24" s="35" t="n">
        <v>13</v>
      </c>
      <c r="B24" s="22" t="s">
        <v>82</v>
      </c>
      <c r="C24" s="10" t="s">
        <v>83</v>
      </c>
      <c r="D24" s="37" t="s">
        <v>96</v>
      </c>
      <c r="E24" s="10" t="s">
        <v>97</v>
      </c>
      <c r="F24" s="36"/>
      <c r="G24" s="36"/>
      <c r="H24" s="36"/>
      <c r="I24" s="36"/>
      <c r="J24" s="6"/>
      <c r="K24" s="33" t="s">
        <v>86</v>
      </c>
      <c r="L24" s="34" t="s">
        <v>70</v>
      </c>
    </row>
    <row r="25" customFormat="false" ht="16.5" hidden="false" customHeight="true" outlineLevel="0" collapsed="false">
      <c r="A25" s="25" t="s">
        <v>98</v>
      </c>
      <c r="B25" s="25"/>
      <c r="C25" s="25"/>
      <c r="D25" s="25"/>
      <c r="E25" s="25"/>
      <c r="F25" s="25"/>
      <c r="G25" s="25"/>
      <c r="H25" s="25"/>
      <c r="I25" s="25"/>
      <c r="J25" s="25"/>
      <c r="K25" s="26"/>
      <c r="L25" s="26"/>
    </row>
    <row r="26" customFormat="false" ht="15" hidden="false" customHeight="true" outlineLevel="0" collapsed="false">
      <c r="A26" s="35" t="n">
        <v>14</v>
      </c>
      <c r="B26" s="35" t="s">
        <v>99</v>
      </c>
      <c r="C26" s="10" t="s">
        <v>100</v>
      </c>
      <c r="D26" s="10" t="s">
        <v>101</v>
      </c>
      <c r="E26" s="37" t="s">
        <v>102</v>
      </c>
      <c r="F26" s="36"/>
      <c r="G26" s="36"/>
      <c r="H26" s="36"/>
      <c r="I26" s="36"/>
      <c r="J26" s="6"/>
      <c r="K26" s="38" t="s">
        <v>103</v>
      </c>
      <c r="L26" s="34" t="s">
        <v>104</v>
      </c>
    </row>
    <row r="27" customFormat="false" ht="15" hidden="false" customHeight="true" outlineLevel="0" collapsed="false">
      <c r="A27" s="35" t="n">
        <v>15</v>
      </c>
      <c r="B27" s="35" t="s">
        <v>99</v>
      </c>
      <c r="C27" s="10" t="s">
        <v>100</v>
      </c>
      <c r="D27" s="10" t="s">
        <v>105</v>
      </c>
      <c r="E27" s="10" t="s">
        <v>106</v>
      </c>
      <c r="F27" s="36"/>
      <c r="G27" s="36"/>
      <c r="H27" s="36"/>
      <c r="I27" s="36"/>
      <c r="J27" s="6"/>
      <c r="K27" s="38" t="s">
        <v>107</v>
      </c>
      <c r="L27" s="34" t="s">
        <v>108</v>
      </c>
    </row>
    <row r="28" customFormat="false" ht="15" hidden="false" customHeight="true" outlineLevel="0" collapsed="false">
      <c r="A28" s="35" t="n">
        <v>16</v>
      </c>
      <c r="B28" s="35" t="s">
        <v>99</v>
      </c>
      <c r="C28" s="10" t="s">
        <v>100</v>
      </c>
      <c r="D28" s="10" t="s">
        <v>109</v>
      </c>
      <c r="E28" s="10" t="s">
        <v>110</v>
      </c>
      <c r="F28" s="36"/>
      <c r="G28" s="36"/>
      <c r="H28" s="36"/>
      <c r="I28" s="36"/>
      <c r="J28" s="6"/>
      <c r="K28" s="38" t="s">
        <v>111</v>
      </c>
      <c r="L28" s="34" t="s">
        <v>104</v>
      </c>
    </row>
    <row r="29" customFormat="false" ht="15" hidden="false" customHeight="true" outlineLevel="0" collapsed="false">
      <c r="A29" s="35" t="n">
        <v>17</v>
      </c>
      <c r="B29" s="35" t="s">
        <v>99</v>
      </c>
      <c r="C29" s="10" t="s">
        <v>100</v>
      </c>
      <c r="D29" s="10" t="s">
        <v>112</v>
      </c>
      <c r="E29" s="10" t="s">
        <v>113</v>
      </c>
      <c r="F29" s="36"/>
      <c r="G29" s="36"/>
      <c r="H29" s="36"/>
      <c r="I29" s="36"/>
      <c r="J29" s="6"/>
      <c r="K29" s="38" t="s">
        <v>114</v>
      </c>
      <c r="L29" s="34" t="s">
        <v>104</v>
      </c>
    </row>
    <row r="30" customFormat="false" ht="15" hidden="false" customHeight="true" outlineLevel="0" collapsed="false">
      <c r="A30" s="35" t="n">
        <v>18</v>
      </c>
      <c r="B30" s="35" t="s">
        <v>99</v>
      </c>
      <c r="C30" s="10" t="s">
        <v>100</v>
      </c>
      <c r="D30" s="10" t="s">
        <v>115</v>
      </c>
      <c r="E30" s="10" t="s">
        <v>116</v>
      </c>
      <c r="F30" s="36"/>
      <c r="G30" s="36"/>
      <c r="H30" s="36"/>
      <c r="I30" s="36"/>
      <c r="J30" s="6"/>
      <c r="K30" s="38" t="s">
        <v>117</v>
      </c>
      <c r="L30" s="34" t="s">
        <v>104</v>
      </c>
    </row>
    <row r="31" customFormat="false" ht="15" hidden="false" customHeight="true" outlineLevel="0" collapsed="false">
      <c r="A31" s="35" t="n">
        <v>19</v>
      </c>
      <c r="B31" s="35" t="s">
        <v>99</v>
      </c>
      <c r="C31" s="10" t="s">
        <v>100</v>
      </c>
      <c r="D31" s="10" t="s">
        <v>118</v>
      </c>
      <c r="E31" s="10" t="s">
        <v>119</v>
      </c>
      <c r="F31" s="36"/>
      <c r="G31" s="36"/>
      <c r="H31" s="36"/>
      <c r="I31" s="36"/>
      <c r="J31" s="6"/>
      <c r="K31" s="38" t="s">
        <v>120</v>
      </c>
      <c r="L31" s="34" t="s">
        <v>108</v>
      </c>
    </row>
    <row r="32" customFormat="false" ht="15" hidden="false" customHeight="true" outlineLevel="0" collapsed="false">
      <c r="A32" s="35" t="n">
        <v>20</v>
      </c>
      <c r="B32" s="35" t="s">
        <v>99</v>
      </c>
      <c r="C32" s="10" t="s">
        <v>100</v>
      </c>
      <c r="D32" s="10" t="s">
        <v>121</v>
      </c>
      <c r="E32" s="10" t="s">
        <v>122</v>
      </c>
      <c r="F32" s="36"/>
      <c r="G32" s="36"/>
      <c r="H32" s="36"/>
      <c r="I32" s="36"/>
      <c r="J32" s="6"/>
      <c r="K32" s="38" t="s">
        <v>123</v>
      </c>
      <c r="L32" s="34" t="s">
        <v>104</v>
      </c>
    </row>
    <row r="33" customFormat="false" ht="15" hidden="false" customHeight="true" outlineLevel="0" collapsed="false">
      <c r="A33" s="35" t="n">
        <v>21</v>
      </c>
      <c r="B33" s="35" t="s">
        <v>99</v>
      </c>
      <c r="C33" s="10" t="s">
        <v>100</v>
      </c>
      <c r="D33" s="10" t="s">
        <v>124</v>
      </c>
      <c r="E33" s="37" t="s">
        <v>125</v>
      </c>
      <c r="F33" s="36"/>
      <c r="G33" s="36"/>
      <c r="H33" s="36"/>
      <c r="I33" s="36"/>
      <c r="J33" s="6"/>
      <c r="K33" s="38" t="s">
        <v>126</v>
      </c>
      <c r="L33" s="34" t="s">
        <v>104</v>
      </c>
    </row>
    <row r="34" customFormat="false" ht="15" hidden="false" customHeight="true" outlineLevel="0" collapsed="false">
      <c r="A34" s="35" t="n">
        <v>22</v>
      </c>
      <c r="B34" s="35" t="s">
        <v>99</v>
      </c>
      <c r="C34" s="10" t="s">
        <v>100</v>
      </c>
      <c r="D34" s="10" t="s">
        <v>127</v>
      </c>
      <c r="E34" s="10" t="s">
        <v>128</v>
      </c>
      <c r="F34" s="36"/>
      <c r="G34" s="36"/>
      <c r="H34" s="36"/>
      <c r="I34" s="36"/>
      <c r="J34" s="6"/>
      <c r="K34" s="38" t="s">
        <v>129</v>
      </c>
      <c r="L34" s="34" t="s">
        <v>108</v>
      </c>
    </row>
    <row r="35" customFormat="false" ht="15" hidden="false" customHeight="true" outlineLevel="0" collapsed="false">
      <c r="A35" s="35" t="n">
        <v>23</v>
      </c>
      <c r="B35" s="35" t="s">
        <v>99</v>
      </c>
      <c r="C35" s="10" t="s">
        <v>100</v>
      </c>
      <c r="D35" s="10" t="s">
        <v>130</v>
      </c>
      <c r="E35" s="10" t="s">
        <v>131</v>
      </c>
      <c r="F35" s="36"/>
      <c r="G35" s="36"/>
      <c r="H35" s="36"/>
      <c r="I35" s="36"/>
      <c r="J35" s="6"/>
      <c r="K35" s="38" t="s">
        <v>132</v>
      </c>
      <c r="L35" s="34" t="s">
        <v>104</v>
      </c>
    </row>
    <row r="36" customFormat="false" ht="15" hidden="false" customHeight="true" outlineLevel="0" collapsed="false">
      <c r="A36" s="35" t="n">
        <v>24</v>
      </c>
      <c r="B36" s="35" t="s">
        <v>99</v>
      </c>
      <c r="C36" s="10" t="s">
        <v>100</v>
      </c>
      <c r="D36" s="10" t="s">
        <v>133</v>
      </c>
      <c r="E36" s="10" t="s">
        <v>134</v>
      </c>
      <c r="F36" s="36"/>
      <c r="G36" s="36"/>
      <c r="H36" s="36"/>
      <c r="I36" s="36"/>
      <c r="J36" s="6"/>
      <c r="K36" s="38" t="s">
        <v>135</v>
      </c>
      <c r="L36" s="34" t="s">
        <v>70</v>
      </c>
    </row>
    <row r="37" customFormat="false" ht="15" hidden="false" customHeight="true" outlineLevel="0" collapsed="false">
      <c r="A37" s="35" t="n">
        <v>25</v>
      </c>
      <c r="B37" s="35" t="s">
        <v>99</v>
      </c>
      <c r="C37" s="10" t="s">
        <v>100</v>
      </c>
      <c r="D37" s="10" t="s">
        <v>136</v>
      </c>
      <c r="E37" s="10" t="s">
        <v>137</v>
      </c>
      <c r="F37" s="36"/>
      <c r="G37" s="36"/>
      <c r="H37" s="36"/>
      <c r="I37" s="36"/>
      <c r="J37" s="6"/>
      <c r="K37" s="33" t="s">
        <v>138</v>
      </c>
      <c r="L37" s="34" t="s">
        <v>70</v>
      </c>
    </row>
    <row r="38" customFormat="false" ht="15" hidden="false" customHeight="true" outlineLevel="0" collapsed="false">
      <c r="A38" s="35" t="n">
        <v>26</v>
      </c>
      <c r="B38" s="35" t="s">
        <v>99</v>
      </c>
      <c r="C38" s="10" t="s">
        <v>100</v>
      </c>
      <c r="D38" s="10" t="s">
        <v>139</v>
      </c>
      <c r="E38" s="10" t="s">
        <v>140</v>
      </c>
      <c r="F38" s="36"/>
      <c r="G38" s="36"/>
      <c r="H38" s="36"/>
      <c r="I38" s="36"/>
      <c r="J38" s="6"/>
      <c r="K38" s="38" t="s">
        <v>141</v>
      </c>
      <c r="L38" s="34" t="s">
        <v>104</v>
      </c>
    </row>
    <row r="39" customFormat="false" ht="15" hidden="false" customHeight="true" outlineLevel="0" collapsed="false">
      <c r="A39" s="35" t="n">
        <v>27</v>
      </c>
      <c r="B39" s="35" t="s">
        <v>99</v>
      </c>
      <c r="C39" s="10" t="s">
        <v>100</v>
      </c>
      <c r="D39" s="10" t="s">
        <v>142</v>
      </c>
      <c r="E39" s="10" t="s">
        <v>143</v>
      </c>
      <c r="F39" s="36"/>
      <c r="G39" s="36"/>
      <c r="H39" s="36"/>
      <c r="I39" s="36"/>
      <c r="J39" s="6"/>
      <c r="K39" s="38" t="s">
        <v>144</v>
      </c>
      <c r="L39" s="34" t="s">
        <v>104</v>
      </c>
    </row>
    <row r="40" customFormat="false" ht="16.5" hidden="false" customHeight="true" outlineLevel="0" collapsed="false">
      <c r="A40" s="25" t="s">
        <v>145</v>
      </c>
      <c r="B40" s="25"/>
      <c r="C40" s="25"/>
      <c r="D40" s="25"/>
      <c r="E40" s="25"/>
      <c r="F40" s="25"/>
      <c r="G40" s="25"/>
      <c r="H40" s="25"/>
      <c r="I40" s="25"/>
      <c r="J40" s="25"/>
      <c r="K40" s="26"/>
      <c r="L40" s="26"/>
    </row>
    <row r="41" customFormat="false" ht="15" hidden="false" customHeight="true" outlineLevel="0" collapsed="false">
      <c r="A41" s="35" t="n">
        <v>28</v>
      </c>
      <c r="B41" s="22" t="s">
        <v>146</v>
      </c>
      <c r="C41" s="10" t="s">
        <v>147</v>
      </c>
      <c r="D41" s="37" t="s">
        <v>148</v>
      </c>
      <c r="E41" s="10" t="s">
        <v>149</v>
      </c>
      <c r="F41" s="36"/>
      <c r="G41" s="36"/>
      <c r="H41" s="36"/>
      <c r="I41" s="36"/>
      <c r="J41" s="6"/>
      <c r="K41" s="33" t="s">
        <v>69</v>
      </c>
      <c r="L41" s="34" t="s">
        <v>70</v>
      </c>
    </row>
    <row r="42" customFormat="false" ht="15" hidden="false" customHeight="true" outlineLevel="0" collapsed="false">
      <c r="A42" s="35" t="n">
        <v>29</v>
      </c>
      <c r="B42" s="22" t="s">
        <v>146</v>
      </c>
      <c r="C42" s="10" t="s">
        <v>147</v>
      </c>
      <c r="D42" s="10" t="s">
        <v>150</v>
      </c>
      <c r="E42" s="10" t="s">
        <v>151</v>
      </c>
      <c r="F42" s="36"/>
      <c r="G42" s="36"/>
      <c r="H42" s="36"/>
      <c r="I42" s="36"/>
      <c r="J42" s="6"/>
      <c r="K42" s="33" t="s">
        <v>69</v>
      </c>
      <c r="L42" s="34" t="s">
        <v>70</v>
      </c>
    </row>
    <row r="43" customFormat="false" ht="15" hidden="false" customHeight="true" outlineLevel="0" collapsed="false">
      <c r="A43" s="35" t="n">
        <v>30</v>
      </c>
      <c r="B43" s="22" t="s">
        <v>146</v>
      </c>
      <c r="C43" s="10" t="s">
        <v>147</v>
      </c>
      <c r="D43" s="10" t="s">
        <v>152</v>
      </c>
      <c r="E43" s="10" t="s">
        <v>153</v>
      </c>
      <c r="F43" s="36"/>
      <c r="G43" s="36"/>
      <c r="H43" s="36"/>
      <c r="I43" s="36"/>
      <c r="J43" s="6"/>
      <c r="K43" s="38" t="s">
        <v>154</v>
      </c>
      <c r="L43" s="34" t="s">
        <v>108</v>
      </c>
    </row>
    <row r="44" customFormat="false" ht="15" hidden="false" customHeight="true" outlineLevel="0" collapsed="false">
      <c r="A44" s="35" t="n">
        <v>31</v>
      </c>
      <c r="B44" s="22" t="s">
        <v>146</v>
      </c>
      <c r="C44" s="10" t="s">
        <v>147</v>
      </c>
      <c r="D44" s="10" t="s">
        <v>155</v>
      </c>
      <c r="E44" s="10" t="s">
        <v>156</v>
      </c>
      <c r="F44" s="36"/>
      <c r="G44" s="36"/>
      <c r="H44" s="36"/>
      <c r="I44" s="36"/>
      <c r="J44" s="6"/>
      <c r="K44" s="38" t="s">
        <v>157</v>
      </c>
      <c r="L44" s="34" t="s">
        <v>104</v>
      </c>
    </row>
    <row r="45" customFormat="false" ht="15" hidden="false" customHeight="true" outlineLevel="0" collapsed="false">
      <c r="A45" s="35" t="n">
        <v>32</v>
      </c>
      <c r="B45" s="22" t="s">
        <v>146</v>
      </c>
      <c r="C45" s="10" t="s">
        <v>147</v>
      </c>
      <c r="D45" s="10" t="s">
        <v>158</v>
      </c>
      <c r="E45" s="10" t="s">
        <v>159</v>
      </c>
      <c r="F45" s="36"/>
      <c r="G45" s="36"/>
      <c r="H45" s="36"/>
      <c r="I45" s="36"/>
      <c r="J45" s="6"/>
      <c r="K45" s="33" t="s">
        <v>69</v>
      </c>
      <c r="L45" s="34" t="s">
        <v>70</v>
      </c>
    </row>
    <row r="46" customFormat="false" ht="15" hidden="false" customHeight="true" outlineLevel="0" collapsed="false">
      <c r="A46" s="35" t="n">
        <v>33</v>
      </c>
      <c r="B46" s="22" t="s">
        <v>146</v>
      </c>
      <c r="C46" s="10" t="s">
        <v>147</v>
      </c>
      <c r="D46" s="10" t="s">
        <v>160</v>
      </c>
      <c r="E46" s="37" t="s">
        <v>161</v>
      </c>
      <c r="F46" s="36"/>
      <c r="G46" s="36"/>
      <c r="H46" s="36"/>
      <c r="I46" s="36"/>
      <c r="J46" s="6"/>
      <c r="K46" s="33" t="s">
        <v>69</v>
      </c>
      <c r="L46" s="34" t="s">
        <v>70</v>
      </c>
    </row>
    <row r="47" customFormat="false" ht="15" hidden="false" customHeight="true" outlineLevel="0" collapsed="false">
      <c r="A47" s="35" t="n">
        <v>34</v>
      </c>
      <c r="B47" s="22" t="s">
        <v>146</v>
      </c>
      <c r="C47" s="10" t="s">
        <v>147</v>
      </c>
      <c r="D47" s="37" t="s">
        <v>162</v>
      </c>
      <c r="E47" s="10" t="s">
        <v>163</v>
      </c>
      <c r="F47" s="36"/>
      <c r="G47" s="36"/>
      <c r="H47" s="36"/>
      <c r="I47" s="36"/>
      <c r="J47" s="6"/>
      <c r="K47" s="33" t="s">
        <v>69</v>
      </c>
      <c r="L47" s="34" t="s">
        <v>70</v>
      </c>
    </row>
    <row r="48" customFormat="false" ht="16.5" hidden="false" customHeight="true" outlineLevel="0" collapsed="false">
      <c r="A48" s="25" t="s">
        <v>164</v>
      </c>
      <c r="B48" s="25"/>
      <c r="C48" s="25"/>
      <c r="D48" s="25"/>
      <c r="E48" s="25"/>
      <c r="F48" s="25"/>
      <c r="G48" s="25"/>
      <c r="H48" s="25"/>
      <c r="I48" s="25"/>
      <c r="J48" s="25"/>
      <c r="K48" s="26"/>
      <c r="L48" s="26"/>
    </row>
    <row r="49" customFormat="false" ht="24.75" hidden="false" customHeight="true" outlineLevel="0" collapsed="false">
      <c r="A49" s="35" t="n">
        <v>35</v>
      </c>
      <c r="B49" s="22" t="s">
        <v>165</v>
      </c>
      <c r="C49" s="37" t="s">
        <v>166</v>
      </c>
      <c r="D49" s="10" t="s">
        <v>167</v>
      </c>
      <c r="E49" s="37" t="s">
        <v>168</v>
      </c>
      <c r="F49" s="36"/>
      <c r="G49" s="36"/>
      <c r="H49" s="36"/>
      <c r="I49" s="36"/>
      <c r="J49" s="6"/>
      <c r="K49" s="38" t="s">
        <v>169</v>
      </c>
      <c r="L49" s="34" t="s">
        <v>108</v>
      </c>
    </row>
    <row r="50" customFormat="false" ht="24.75" hidden="false" customHeight="true" outlineLevel="0" collapsed="false">
      <c r="A50" s="35" t="n">
        <v>36</v>
      </c>
      <c r="B50" s="22" t="s">
        <v>165</v>
      </c>
      <c r="C50" s="37" t="s">
        <v>166</v>
      </c>
      <c r="D50" s="10" t="s">
        <v>170</v>
      </c>
      <c r="E50" s="10" t="s">
        <v>171</v>
      </c>
      <c r="F50" s="36"/>
      <c r="G50" s="36"/>
      <c r="H50" s="36"/>
      <c r="I50" s="36"/>
      <c r="J50" s="6"/>
      <c r="K50" s="33" t="s">
        <v>69</v>
      </c>
      <c r="L50" s="34" t="s">
        <v>70</v>
      </c>
    </row>
    <row r="51" customFormat="false" ht="24.75" hidden="false" customHeight="true" outlineLevel="0" collapsed="false">
      <c r="A51" s="35" t="n">
        <v>37</v>
      </c>
      <c r="B51" s="22" t="s">
        <v>165</v>
      </c>
      <c r="C51" s="37" t="s">
        <v>166</v>
      </c>
      <c r="D51" s="10" t="s">
        <v>172</v>
      </c>
      <c r="E51" s="37" t="s">
        <v>173</v>
      </c>
      <c r="F51" s="36"/>
      <c r="G51" s="36"/>
      <c r="H51" s="36"/>
      <c r="I51" s="36"/>
      <c r="J51" s="6"/>
      <c r="K51" s="38" t="s">
        <v>174</v>
      </c>
      <c r="L51" s="34" t="s">
        <v>108</v>
      </c>
    </row>
    <row r="52" customFormat="false" ht="24.75" hidden="false" customHeight="true" outlineLevel="0" collapsed="false">
      <c r="A52" s="35" t="n">
        <v>38</v>
      </c>
      <c r="B52" s="22" t="s">
        <v>165</v>
      </c>
      <c r="C52" s="37" t="s">
        <v>166</v>
      </c>
      <c r="D52" s="10" t="s">
        <v>175</v>
      </c>
      <c r="E52" s="10" t="s">
        <v>176</v>
      </c>
      <c r="F52" s="36"/>
      <c r="G52" s="36"/>
      <c r="H52" s="36"/>
      <c r="I52" s="36"/>
      <c r="J52" s="6"/>
      <c r="K52" s="38" t="s">
        <v>177</v>
      </c>
      <c r="L52" s="34" t="s">
        <v>104</v>
      </c>
    </row>
    <row r="53" customFormat="false" ht="24.75" hidden="false" customHeight="true" outlineLevel="0" collapsed="false">
      <c r="A53" s="35" t="n">
        <v>39</v>
      </c>
      <c r="B53" s="22" t="s">
        <v>165</v>
      </c>
      <c r="C53" s="37" t="s">
        <v>166</v>
      </c>
      <c r="D53" s="10" t="s">
        <v>178</v>
      </c>
      <c r="E53" s="37" t="s">
        <v>179</v>
      </c>
      <c r="F53" s="36"/>
      <c r="G53" s="36"/>
      <c r="H53" s="36"/>
      <c r="I53" s="36"/>
      <c r="J53" s="6"/>
      <c r="K53" s="38" t="s">
        <v>180</v>
      </c>
      <c r="L53" s="34" t="s">
        <v>108</v>
      </c>
    </row>
    <row r="54" customFormat="false" ht="24.75" hidden="false" customHeight="true" outlineLevel="0" collapsed="false">
      <c r="A54" s="35" t="n">
        <v>40</v>
      </c>
      <c r="B54" s="22" t="s">
        <v>165</v>
      </c>
      <c r="C54" s="37" t="s">
        <v>166</v>
      </c>
      <c r="D54" s="10" t="s">
        <v>181</v>
      </c>
      <c r="E54" s="10" t="s">
        <v>182</v>
      </c>
      <c r="F54" s="36"/>
      <c r="G54" s="36"/>
      <c r="H54" s="36"/>
      <c r="I54" s="36"/>
      <c r="J54" s="6"/>
      <c r="K54" s="38" t="s">
        <v>183</v>
      </c>
      <c r="L54" s="34" t="s">
        <v>108</v>
      </c>
    </row>
    <row r="55" customFormat="false" ht="24.75" hidden="false" customHeight="true" outlineLevel="0" collapsed="false">
      <c r="A55" s="35" t="n">
        <v>41</v>
      </c>
      <c r="B55" s="22" t="s">
        <v>165</v>
      </c>
      <c r="C55" s="37" t="s">
        <v>166</v>
      </c>
      <c r="D55" s="37" t="s">
        <v>184</v>
      </c>
      <c r="E55" s="10" t="s">
        <v>185</v>
      </c>
      <c r="F55" s="36"/>
      <c r="G55" s="36"/>
      <c r="H55" s="36"/>
      <c r="I55" s="36"/>
      <c r="J55" s="6"/>
      <c r="K55" s="33" t="s">
        <v>69</v>
      </c>
      <c r="L55" s="34" t="s">
        <v>70</v>
      </c>
    </row>
    <row r="56" customFormat="false" ht="24.75" hidden="false" customHeight="true" outlineLevel="0" collapsed="false">
      <c r="A56" s="35" t="n">
        <v>42</v>
      </c>
      <c r="B56" s="22" t="s">
        <v>165</v>
      </c>
      <c r="C56" s="37" t="s">
        <v>166</v>
      </c>
      <c r="D56" s="37" t="s">
        <v>186</v>
      </c>
      <c r="E56" s="10" t="s">
        <v>187</v>
      </c>
      <c r="F56" s="36"/>
      <c r="G56" s="36"/>
      <c r="H56" s="36"/>
      <c r="I56" s="36"/>
      <c r="J56" s="6"/>
      <c r="K56" s="33" t="s">
        <v>69</v>
      </c>
      <c r="L56" s="34" t="s">
        <v>70</v>
      </c>
    </row>
    <row r="57" customFormat="false" ht="16.5" hidden="false" customHeight="true" outlineLevel="0" collapsed="false">
      <c r="A57" s="25" t="s">
        <v>188</v>
      </c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26"/>
    </row>
    <row r="58" customFormat="false" ht="15" hidden="false" customHeight="true" outlineLevel="0" collapsed="false">
      <c r="A58" s="35" t="n">
        <v>43</v>
      </c>
      <c r="B58" s="35" t="s">
        <v>189</v>
      </c>
      <c r="C58" s="10" t="s">
        <v>190</v>
      </c>
      <c r="D58" s="10" t="s">
        <v>191</v>
      </c>
      <c r="E58" s="10" t="s">
        <v>192</v>
      </c>
      <c r="F58" s="36"/>
      <c r="G58" s="36"/>
      <c r="H58" s="36"/>
      <c r="I58" s="36"/>
      <c r="J58" s="6"/>
      <c r="K58" s="33" t="s">
        <v>69</v>
      </c>
      <c r="L58" s="34" t="s">
        <v>70</v>
      </c>
    </row>
    <row r="59" customFormat="false" ht="15" hidden="false" customHeight="true" outlineLevel="0" collapsed="false">
      <c r="A59" s="35" t="n">
        <v>44</v>
      </c>
      <c r="B59" s="35" t="s">
        <v>189</v>
      </c>
      <c r="C59" s="10" t="s">
        <v>190</v>
      </c>
      <c r="D59" s="10" t="s">
        <v>193</v>
      </c>
      <c r="E59" s="10" t="s">
        <v>194</v>
      </c>
      <c r="F59" s="36"/>
      <c r="G59" s="36"/>
      <c r="H59" s="36"/>
      <c r="I59" s="36"/>
      <c r="J59" s="6"/>
      <c r="K59" s="33" t="s">
        <v>69</v>
      </c>
      <c r="L59" s="34" t="s">
        <v>70</v>
      </c>
    </row>
    <row r="60" customFormat="false" ht="15" hidden="false" customHeight="true" outlineLevel="0" collapsed="false">
      <c r="A60" s="35" t="n">
        <v>45</v>
      </c>
      <c r="B60" s="35" t="s">
        <v>189</v>
      </c>
      <c r="C60" s="10" t="s">
        <v>190</v>
      </c>
      <c r="D60" s="10" t="s">
        <v>195</v>
      </c>
      <c r="E60" s="10" t="s">
        <v>196</v>
      </c>
      <c r="F60" s="36"/>
      <c r="G60" s="36"/>
      <c r="H60" s="36"/>
      <c r="I60" s="36"/>
      <c r="J60" s="6"/>
      <c r="K60" s="33" t="s">
        <v>69</v>
      </c>
      <c r="L60" s="34" t="s">
        <v>70</v>
      </c>
    </row>
    <row r="61" customFormat="false" ht="15" hidden="false" customHeight="true" outlineLevel="0" collapsed="false">
      <c r="A61" s="35" t="n">
        <v>46</v>
      </c>
      <c r="B61" s="35" t="s">
        <v>189</v>
      </c>
      <c r="C61" s="10" t="s">
        <v>190</v>
      </c>
      <c r="D61" s="10" t="s">
        <v>197</v>
      </c>
      <c r="E61" s="10" t="s">
        <v>198</v>
      </c>
      <c r="F61" s="36"/>
      <c r="G61" s="36"/>
      <c r="H61" s="36"/>
      <c r="I61" s="36"/>
      <c r="J61" s="6"/>
      <c r="K61" s="33" t="s">
        <v>69</v>
      </c>
      <c r="L61" s="34" t="s">
        <v>70</v>
      </c>
    </row>
    <row r="62" customFormat="false" ht="15" hidden="false" customHeight="true" outlineLevel="0" collapsed="false">
      <c r="A62" s="35" t="n">
        <v>47</v>
      </c>
      <c r="B62" s="35" t="s">
        <v>189</v>
      </c>
      <c r="C62" s="10" t="s">
        <v>190</v>
      </c>
      <c r="D62" s="10" t="s">
        <v>199</v>
      </c>
      <c r="E62" s="37" t="s">
        <v>200</v>
      </c>
      <c r="F62" s="36"/>
      <c r="G62" s="36"/>
      <c r="H62" s="36"/>
      <c r="I62" s="36"/>
      <c r="J62" s="6"/>
      <c r="K62" s="33" t="s">
        <v>201</v>
      </c>
      <c r="L62" s="34" t="s">
        <v>70</v>
      </c>
    </row>
    <row r="63" customFormat="false" ht="15" hidden="false" customHeight="true" outlineLevel="0" collapsed="false">
      <c r="A63" s="35" t="n">
        <v>48</v>
      </c>
      <c r="B63" s="35" t="s">
        <v>189</v>
      </c>
      <c r="C63" s="10" t="s">
        <v>190</v>
      </c>
      <c r="D63" s="37" t="s">
        <v>202</v>
      </c>
      <c r="E63" s="10" t="s">
        <v>203</v>
      </c>
      <c r="F63" s="36"/>
      <c r="G63" s="36"/>
      <c r="H63" s="36"/>
      <c r="I63" s="36"/>
      <c r="J63" s="6"/>
      <c r="K63" s="38" t="s">
        <v>204</v>
      </c>
      <c r="L63" s="34" t="s">
        <v>108</v>
      </c>
    </row>
    <row r="64" customFormat="false" ht="16.5" hidden="false" customHeight="true" outlineLevel="0" collapsed="false">
      <c r="A64" s="25" t="s">
        <v>205</v>
      </c>
      <c r="B64" s="25"/>
      <c r="C64" s="25"/>
      <c r="D64" s="25"/>
      <c r="E64" s="25"/>
      <c r="F64" s="25"/>
      <c r="G64" s="25"/>
      <c r="H64" s="25"/>
      <c r="I64" s="25"/>
      <c r="J64" s="25"/>
      <c r="K64" s="26"/>
      <c r="L64" s="26"/>
    </row>
    <row r="65" customFormat="false" ht="15" hidden="false" customHeight="true" outlineLevel="0" collapsed="false">
      <c r="A65" s="35" t="n">
        <v>49</v>
      </c>
      <c r="B65" s="35" t="s">
        <v>206</v>
      </c>
      <c r="C65" s="10" t="s">
        <v>207</v>
      </c>
      <c r="D65" s="10" t="s">
        <v>208</v>
      </c>
      <c r="E65" s="10" t="s">
        <v>209</v>
      </c>
      <c r="F65" s="36"/>
      <c r="G65" s="36"/>
      <c r="H65" s="36"/>
      <c r="I65" s="36"/>
      <c r="J65" s="6"/>
      <c r="K65" s="38" t="s">
        <v>210</v>
      </c>
      <c r="L65" s="34" t="s">
        <v>108</v>
      </c>
    </row>
    <row r="66" customFormat="false" ht="15" hidden="false" customHeight="true" outlineLevel="0" collapsed="false">
      <c r="A66" s="35" t="n">
        <v>50</v>
      </c>
      <c r="B66" s="35" t="s">
        <v>206</v>
      </c>
      <c r="C66" s="10" t="s">
        <v>207</v>
      </c>
      <c r="D66" s="10" t="s">
        <v>211</v>
      </c>
      <c r="E66" s="10" t="s">
        <v>212</v>
      </c>
      <c r="F66" s="36"/>
      <c r="G66" s="36"/>
      <c r="H66" s="36"/>
      <c r="I66" s="36"/>
      <c r="J66" s="6"/>
      <c r="K66" s="33" t="s">
        <v>69</v>
      </c>
      <c r="L66" s="34" t="s">
        <v>70</v>
      </c>
    </row>
    <row r="67" customFormat="false" ht="15" hidden="false" customHeight="true" outlineLevel="0" collapsed="false">
      <c r="A67" s="35" t="n">
        <v>51</v>
      </c>
      <c r="B67" s="35" t="s">
        <v>206</v>
      </c>
      <c r="C67" s="10" t="s">
        <v>207</v>
      </c>
      <c r="D67" s="10" t="s">
        <v>213</v>
      </c>
      <c r="E67" s="10" t="s">
        <v>214</v>
      </c>
      <c r="F67" s="36"/>
      <c r="G67" s="36"/>
      <c r="H67" s="36"/>
      <c r="I67" s="36"/>
      <c r="J67" s="6"/>
      <c r="K67" s="33" t="s">
        <v>69</v>
      </c>
      <c r="L67" s="34" t="s">
        <v>70</v>
      </c>
    </row>
    <row r="68" customFormat="false" ht="15" hidden="false" customHeight="true" outlineLevel="0" collapsed="false">
      <c r="A68" s="35" t="n">
        <v>52</v>
      </c>
      <c r="B68" s="35" t="s">
        <v>206</v>
      </c>
      <c r="C68" s="10" t="s">
        <v>207</v>
      </c>
      <c r="D68" s="10" t="s">
        <v>215</v>
      </c>
      <c r="E68" s="10" t="s">
        <v>216</v>
      </c>
      <c r="F68" s="36"/>
      <c r="G68" s="36"/>
      <c r="H68" s="36"/>
      <c r="I68" s="36"/>
      <c r="J68" s="6"/>
      <c r="K68" s="33" t="s">
        <v>69</v>
      </c>
      <c r="L68" s="34" t="s">
        <v>70</v>
      </c>
    </row>
    <row r="69" customFormat="false" ht="15" hidden="false" customHeight="true" outlineLevel="0" collapsed="false">
      <c r="A69" s="35" t="n">
        <v>53</v>
      </c>
      <c r="B69" s="35" t="s">
        <v>206</v>
      </c>
      <c r="C69" s="10" t="s">
        <v>207</v>
      </c>
      <c r="D69" s="37" t="s">
        <v>217</v>
      </c>
      <c r="E69" s="10" t="s">
        <v>218</v>
      </c>
      <c r="F69" s="36"/>
      <c r="G69" s="36"/>
      <c r="H69" s="36"/>
      <c r="I69" s="36"/>
      <c r="J69" s="6"/>
      <c r="K69" s="38" t="s">
        <v>219</v>
      </c>
      <c r="L69" s="34" t="s">
        <v>108</v>
      </c>
    </row>
    <row r="70" customFormat="false" ht="15" hidden="false" customHeight="true" outlineLevel="0" collapsed="false">
      <c r="A70" s="35" t="n">
        <v>54</v>
      </c>
      <c r="B70" s="35" t="s">
        <v>206</v>
      </c>
      <c r="C70" s="10" t="s">
        <v>207</v>
      </c>
      <c r="D70" s="10" t="s">
        <v>220</v>
      </c>
      <c r="E70" s="10" t="s">
        <v>221</v>
      </c>
      <c r="F70" s="36"/>
      <c r="G70" s="36"/>
      <c r="H70" s="36"/>
      <c r="I70" s="36"/>
      <c r="J70" s="6"/>
      <c r="K70" s="33" t="s">
        <v>69</v>
      </c>
      <c r="L70" s="34" t="s">
        <v>70</v>
      </c>
    </row>
    <row r="71" customFormat="false" ht="15" hidden="false" customHeight="true" outlineLevel="0" collapsed="false">
      <c r="A71" s="35" t="n">
        <v>55</v>
      </c>
      <c r="B71" s="35" t="s">
        <v>206</v>
      </c>
      <c r="C71" s="10" t="s">
        <v>207</v>
      </c>
      <c r="D71" s="10" t="s">
        <v>222</v>
      </c>
      <c r="E71" s="10" t="s">
        <v>223</v>
      </c>
      <c r="F71" s="36"/>
      <c r="G71" s="36"/>
      <c r="H71" s="36"/>
      <c r="I71" s="36"/>
      <c r="J71" s="6"/>
      <c r="K71" s="33" t="s">
        <v>69</v>
      </c>
      <c r="L71" s="34" t="s">
        <v>70</v>
      </c>
    </row>
    <row r="72" customFormat="false" ht="16.5" hidden="false" customHeight="true" outlineLevel="0" collapsed="false">
      <c r="A72" s="25" t="s">
        <v>224</v>
      </c>
      <c r="B72" s="25"/>
      <c r="C72" s="25"/>
      <c r="D72" s="25"/>
      <c r="E72" s="25"/>
      <c r="F72" s="25"/>
      <c r="G72" s="25"/>
      <c r="H72" s="25"/>
      <c r="I72" s="25"/>
      <c r="J72" s="25"/>
      <c r="K72" s="26"/>
      <c r="L72" s="26"/>
    </row>
    <row r="73" customFormat="false" ht="15" hidden="false" customHeight="true" outlineLevel="0" collapsed="false">
      <c r="A73" s="35" t="n">
        <v>56</v>
      </c>
      <c r="B73" s="35" t="s">
        <v>84</v>
      </c>
      <c r="C73" s="10" t="s">
        <v>225</v>
      </c>
      <c r="D73" s="10" t="s">
        <v>226</v>
      </c>
      <c r="E73" s="10" t="s">
        <v>227</v>
      </c>
      <c r="F73" s="36"/>
      <c r="G73" s="36"/>
      <c r="H73" s="36"/>
      <c r="I73" s="36"/>
      <c r="J73" s="6"/>
      <c r="K73" s="33" t="s">
        <v>69</v>
      </c>
      <c r="L73" s="34" t="s">
        <v>70</v>
      </c>
    </row>
    <row r="74" customFormat="false" ht="15" hidden="false" customHeight="true" outlineLevel="0" collapsed="false">
      <c r="A74" s="35" t="n">
        <v>57</v>
      </c>
      <c r="B74" s="35" t="s">
        <v>84</v>
      </c>
      <c r="C74" s="10" t="s">
        <v>225</v>
      </c>
      <c r="D74" s="10" t="s">
        <v>228</v>
      </c>
      <c r="E74" s="10" t="s">
        <v>229</v>
      </c>
      <c r="F74" s="36"/>
      <c r="G74" s="36"/>
      <c r="H74" s="36"/>
      <c r="I74" s="36"/>
      <c r="J74" s="6"/>
      <c r="K74" s="38" t="s">
        <v>230</v>
      </c>
      <c r="L74" s="34" t="s">
        <v>104</v>
      </c>
    </row>
    <row r="75" customFormat="false" ht="15" hidden="false" customHeight="true" outlineLevel="0" collapsed="false">
      <c r="A75" s="35" t="n">
        <v>58</v>
      </c>
      <c r="B75" s="35" t="s">
        <v>84</v>
      </c>
      <c r="C75" s="10" t="s">
        <v>225</v>
      </c>
      <c r="D75" s="10" t="s">
        <v>231</v>
      </c>
      <c r="E75" s="10" t="s">
        <v>232</v>
      </c>
      <c r="F75" s="36"/>
      <c r="G75" s="36"/>
      <c r="H75" s="36"/>
      <c r="I75" s="36"/>
      <c r="J75" s="6"/>
      <c r="K75" s="33" t="s">
        <v>69</v>
      </c>
      <c r="L75" s="34" t="s">
        <v>70</v>
      </c>
    </row>
    <row r="76" customFormat="false" ht="16.5" hidden="false" customHeight="true" outlineLevel="0" collapsed="false">
      <c r="A76" s="25" t="s">
        <v>233</v>
      </c>
      <c r="B76" s="25"/>
      <c r="C76" s="25"/>
      <c r="D76" s="25"/>
      <c r="E76" s="25"/>
      <c r="F76" s="25"/>
      <c r="G76" s="25"/>
      <c r="H76" s="25"/>
      <c r="I76" s="25"/>
      <c r="J76" s="25"/>
      <c r="K76" s="26"/>
      <c r="L76" s="26"/>
    </row>
    <row r="77" customFormat="false" ht="15" hidden="false" customHeight="true" outlineLevel="0" collapsed="false">
      <c r="A77" s="35" t="n">
        <v>59</v>
      </c>
      <c r="B77" s="35" t="s">
        <v>234</v>
      </c>
      <c r="C77" s="37" t="s">
        <v>235</v>
      </c>
      <c r="D77" s="10" t="s">
        <v>236</v>
      </c>
      <c r="E77" s="10" t="s">
        <v>237</v>
      </c>
      <c r="F77" s="36"/>
      <c r="G77" s="36"/>
      <c r="H77" s="36"/>
      <c r="I77" s="36"/>
      <c r="J77" s="6"/>
      <c r="K77" s="33" t="s">
        <v>69</v>
      </c>
      <c r="L77" s="34" t="s">
        <v>70</v>
      </c>
    </row>
    <row r="78" customFormat="false" ht="15" hidden="false" customHeight="true" outlineLevel="0" collapsed="false">
      <c r="A78" s="35" t="n">
        <v>60</v>
      </c>
      <c r="B78" s="35" t="s">
        <v>234</v>
      </c>
      <c r="C78" s="37" t="s">
        <v>235</v>
      </c>
      <c r="D78" s="10" t="s">
        <v>238</v>
      </c>
      <c r="E78" s="10" t="s">
        <v>239</v>
      </c>
      <c r="F78" s="36"/>
      <c r="G78" s="36"/>
      <c r="H78" s="36"/>
      <c r="I78" s="36"/>
      <c r="J78" s="6"/>
      <c r="K78" s="33" t="s">
        <v>69</v>
      </c>
      <c r="L78" s="34" t="s">
        <v>70</v>
      </c>
    </row>
    <row r="79" customFormat="false" ht="15" hidden="false" customHeight="true" outlineLevel="0" collapsed="false">
      <c r="A79" s="35" t="n">
        <v>61</v>
      </c>
      <c r="B79" s="35" t="s">
        <v>234</v>
      </c>
      <c r="C79" s="37" t="s">
        <v>235</v>
      </c>
      <c r="D79" s="10" t="s">
        <v>240</v>
      </c>
      <c r="E79" s="37" t="s">
        <v>241</v>
      </c>
      <c r="F79" s="36"/>
      <c r="G79" s="36"/>
      <c r="H79" s="36"/>
      <c r="I79" s="36"/>
      <c r="J79" s="6"/>
      <c r="K79" s="33" t="s">
        <v>69</v>
      </c>
      <c r="L79" s="34" t="s">
        <v>70</v>
      </c>
    </row>
    <row r="80" customFormat="false" ht="16.5" hidden="false" customHeight="true" outlineLevel="0" collapsed="false">
      <c r="A80" s="25" t="s">
        <v>242</v>
      </c>
      <c r="B80" s="25"/>
      <c r="C80" s="25"/>
      <c r="D80" s="25"/>
      <c r="E80" s="25"/>
      <c r="F80" s="25"/>
      <c r="G80" s="25"/>
      <c r="H80" s="25"/>
      <c r="I80" s="25"/>
      <c r="J80" s="25"/>
      <c r="K80" s="26"/>
      <c r="L80" s="26"/>
    </row>
    <row r="81" customFormat="false" ht="15" hidden="false" customHeight="true" outlineLevel="0" collapsed="false">
      <c r="A81" s="35" t="n">
        <v>62</v>
      </c>
      <c r="B81" s="22" t="s">
        <v>243</v>
      </c>
      <c r="C81" s="37" t="s">
        <v>244</v>
      </c>
      <c r="D81" s="10" t="s">
        <v>245</v>
      </c>
      <c r="E81" s="10" t="s">
        <v>246</v>
      </c>
      <c r="F81" s="36"/>
      <c r="G81" s="36"/>
      <c r="H81" s="36"/>
      <c r="I81" s="36"/>
      <c r="J81" s="6"/>
      <c r="K81" s="38" t="s">
        <v>247</v>
      </c>
      <c r="L81" s="34" t="s">
        <v>108</v>
      </c>
    </row>
    <row r="82" customFormat="false" ht="15" hidden="false" customHeight="true" outlineLevel="0" collapsed="false">
      <c r="A82" s="35" t="n">
        <v>63</v>
      </c>
      <c r="B82" s="22" t="s">
        <v>243</v>
      </c>
      <c r="C82" s="37" t="s">
        <v>244</v>
      </c>
      <c r="D82" s="10" t="s">
        <v>248</v>
      </c>
      <c r="E82" s="37" t="s">
        <v>249</v>
      </c>
      <c r="F82" s="36"/>
      <c r="G82" s="36"/>
      <c r="H82" s="36"/>
      <c r="I82" s="36"/>
      <c r="J82" s="6"/>
      <c r="K82" s="33" t="s">
        <v>69</v>
      </c>
      <c r="L82" s="34" t="s">
        <v>70</v>
      </c>
    </row>
    <row r="83" customFormat="false" ht="15" hidden="false" customHeight="true" outlineLevel="0" collapsed="false">
      <c r="A83" s="35" t="n">
        <v>64</v>
      </c>
      <c r="B83" s="22" t="s">
        <v>243</v>
      </c>
      <c r="C83" s="37" t="s">
        <v>244</v>
      </c>
      <c r="D83" s="10" t="s">
        <v>250</v>
      </c>
      <c r="E83" s="10" t="s">
        <v>251</v>
      </c>
      <c r="F83" s="36"/>
      <c r="G83" s="36"/>
      <c r="H83" s="36"/>
      <c r="I83" s="36"/>
      <c r="J83" s="6"/>
      <c r="K83" s="38" t="s">
        <v>252</v>
      </c>
      <c r="L83" s="34" t="s">
        <v>108</v>
      </c>
    </row>
    <row r="84" customFormat="false" ht="16.5" hidden="false" customHeight="true" outlineLevel="0" collapsed="false">
      <c r="A84" s="25" t="s">
        <v>253</v>
      </c>
      <c r="B84" s="25"/>
      <c r="C84" s="25"/>
      <c r="D84" s="25"/>
      <c r="E84" s="25"/>
      <c r="F84" s="25"/>
      <c r="G84" s="25"/>
      <c r="H84" s="25"/>
      <c r="I84" s="25"/>
      <c r="J84" s="25"/>
      <c r="K84" s="26"/>
      <c r="L84" s="26"/>
    </row>
    <row r="85" customFormat="false" ht="15" hidden="false" customHeight="true" outlineLevel="0" collapsed="false">
      <c r="A85" s="35" t="n">
        <v>65</v>
      </c>
      <c r="B85" s="35" t="s">
        <v>254</v>
      </c>
      <c r="C85" s="10" t="s">
        <v>255</v>
      </c>
      <c r="D85" s="10" t="s">
        <v>256</v>
      </c>
      <c r="E85" s="10" t="s">
        <v>257</v>
      </c>
      <c r="F85" s="36"/>
      <c r="G85" s="36"/>
      <c r="H85" s="36"/>
      <c r="I85" s="36"/>
      <c r="J85" s="6"/>
      <c r="K85" s="33" t="s">
        <v>258</v>
      </c>
      <c r="L85" s="34" t="s">
        <v>70</v>
      </c>
    </row>
    <row r="86" customFormat="false" ht="15" hidden="false" customHeight="true" outlineLevel="0" collapsed="false">
      <c r="A86" s="35" t="n">
        <v>66</v>
      </c>
      <c r="B86" s="35" t="s">
        <v>254</v>
      </c>
      <c r="C86" s="10" t="s">
        <v>255</v>
      </c>
      <c r="D86" s="10" t="s">
        <v>259</v>
      </c>
      <c r="E86" s="37" t="s">
        <v>260</v>
      </c>
      <c r="F86" s="36"/>
      <c r="G86" s="36"/>
      <c r="H86" s="36"/>
      <c r="I86" s="36"/>
      <c r="J86" s="6"/>
      <c r="K86" s="33" t="s">
        <v>69</v>
      </c>
      <c r="L86" s="34" t="s">
        <v>70</v>
      </c>
    </row>
    <row r="87" customFormat="false" ht="15" hidden="false" customHeight="true" outlineLevel="0" collapsed="false">
      <c r="A87" s="35" t="n">
        <v>67</v>
      </c>
      <c r="B87" s="35" t="s">
        <v>254</v>
      </c>
      <c r="C87" s="10" t="s">
        <v>255</v>
      </c>
      <c r="D87" s="10" t="s">
        <v>261</v>
      </c>
      <c r="E87" s="37" t="s">
        <v>262</v>
      </c>
      <c r="F87" s="36"/>
      <c r="G87" s="36"/>
      <c r="H87" s="36"/>
      <c r="I87" s="36"/>
      <c r="J87" s="6"/>
      <c r="K87" s="33" t="s">
        <v>69</v>
      </c>
      <c r="L87" s="34" t="s">
        <v>70</v>
      </c>
    </row>
    <row r="88" customFormat="false" ht="15" hidden="false" customHeight="true" outlineLevel="0" collapsed="false">
      <c r="A88" s="35" t="n">
        <v>68</v>
      </c>
      <c r="B88" s="35" t="s">
        <v>254</v>
      </c>
      <c r="C88" s="10" t="s">
        <v>255</v>
      </c>
      <c r="D88" s="10" t="s">
        <v>263</v>
      </c>
      <c r="E88" s="10" t="s">
        <v>264</v>
      </c>
      <c r="F88" s="36"/>
      <c r="G88" s="36"/>
      <c r="H88" s="36"/>
      <c r="I88" s="36"/>
      <c r="J88" s="6"/>
      <c r="K88" s="33" t="s">
        <v>69</v>
      </c>
      <c r="L88" s="34" t="s">
        <v>70</v>
      </c>
    </row>
    <row r="89" customFormat="false" ht="15" hidden="false" customHeight="true" outlineLevel="0" collapsed="false">
      <c r="A89" s="35" t="n">
        <v>69</v>
      </c>
      <c r="B89" s="35" t="s">
        <v>254</v>
      </c>
      <c r="C89" s="10" t="s">
        <v>255</v>
      </c>
      <c r="D89" s="10" t="s">
        <v>265</v>
      </c>
      <c r="E89" s="10" t="s">
        <v>266</v>
      </c>
      <c r="F89" s="36"/>
      <c r="G89" s="36"/>
      <c r="H89" s="36"/>
      <c r="I89" s="36"/>
      <c r="J89" s="6"/>
      <c r="K89" s="38" t="s">
        <v>267</v>
      </c>
      <c r="L89" s="34" t="s">
        <v>108</v>
      </c>
    </row>
    <row r="90" customFormat="false" ht="15" hidden="false" customHeight="true" outlineLevel="0" collapsed="false">
      <c r="A90" s="35" t="n">
        <v>70</v>
      </c>
      <c r="B90" s="35" t="s">
        <v>254</v>
      </c>
      <c r="C90" s="10" t="s">
        <v>255</v>
      </c>
      <c r="D90" s="10" t="s">
        <v>268</v>
      </c>
      <c r="E90" s="10" t="s">
        <v>269</v>
      </c>
      <c r="F90" s="36"/>
      <c r="G90" s="36"/>
      <c r="H90" s="36"/>
      <c r="I90" s="36"/>
      <c r="J90" s="6"/>
      <c r="K90" s="33" t="s">
        <v>69</v>
      </c>
      <c r="L90" s="34" t="s">
        <v>70</v>
      </c>
    </row>
    <row r="91" customFormat="false" ht="16.5" hidden="false" customHeight="true" outlineLevel="0" collapsed="false">
      <c r="A91" s="25" t="s">
        <v>270</v>
      </c>
      <c r="B91" s="25"/>
      <c r="C91" s="25"/>
      <c r="D91" s="25"/>
      <c r="E91" s="25"/>
      <c r="F91" s="25"/>
      <c r="G91" s="25"/>
      <c r="H91" s="25"/>
      <c r="I91" s="25"/>
      <c r="J91" s="25"/>
      <c r="K91" s="26"/>
      <c r="L91" s="26"/>
    </row>
    <row r="92" customFormat="false" ht="15" hidden="false" customHeight="true" outlineLevel="0" collapsed="false">
      <c r="A92" s="35" t="n">
        <v>71</v>
      </c>
      <c r="B92" s="35" t="s">
        <v>271</v>
      </c>
      <c r="C92" s="10" t="s">
        <v>272</v>
      </c>
      <c r="D92" s="37" t="s">
        <v>273</v>
      </c>
      <c r="E92" s="10" t="s">
        <v>274</v>
      </c>
      <c r="F92" s="36"/>
      <c r="G92" s="36"/>
      <c r="H92" s="36"/>
      <c r="I92" s="36"/>
      <c r="J92" s="6"/>
      <c r="K92" s="38" t="s">
        <v>275</v>
      </c>
      <c r="L92" s="34" t="s">
        <v>70</v>
      </c>
    </row>
    <row r="93" customFormat="false" ht="15" hidden="false" customHeight="true" outlineLevel="0" collapsed="false">
      <c r="A93" s="35" t="n">
        <v>72</v>
      </c>
      <c r="B93" s="35" t="s">
        <v>271</v>
      </c>
      <c r="C93" s="10" t="s">
        <v>272</v>
      </c>
      <c r="D93" s="10" t="s">
        <v>276</v>
      </c>
      <c r="E93" s="10" t="s">
        <v>277</v>
      </c>
      <c r="F93" s="36"/>
      <c r="G93" s="36"/>
      <c r="H93" s="36"/>
      <c r="I93" s="36"/>
      <c r="J93" s="6"/>
      <c r="K93" s="33" t="s">
        <v>69</v>
      </c>
      <c r="L93" s="34" t="s">
        <v>70</v>
      </c>
    </row>
    <row r="94" customFormat="false" ht="15" hidden="false" customHeight="true" outlineLevel="0" collapsed="false">
      <c r="A94" s="35" t="n">
        <v>73</v>
      </c>
      <c r="B94" s="35" t="s">
        <v>271</v>
      </c>
      <c r="C94" s="10" t="s">
        <v>272</v>
      </c>
      <c r="D94" s="10" t="s">
        <v>278</v>
      </c>
      <c r="E94" s="10" t="s">
        <v>279</v>
      </c>
      <c r="F94" s="36"/>
      <c r="G94" s="36"/>
      <c r="H94" s="36"/>
      <c r="I94" s="36"/>
      <c r="J94" s="6"/>
      <c r="K94" s="33" t="s">
        <v>69</v>
      </c>
      <c r="L94" s="34" t="s">
        <v>70</v>
      </c>
    </row>
    <row r="95" customFormat="false" ht="15" hidden="false" customHeight="true" outlineLevel="0" collapsed="false">
      <c r="A95" s="35" t="n">
        <v>74</v>
      </c>
      <c r="B95" s="35" t="s">
        <v>271</v>
      </c>
      <c r="C95" s="10" t="s">
        <v>272</v>
      </c>
      <c r="D95" s="10" t="s">
        <v>280</v>
      </c>
      <c r="E95" s="10" t="s">
        <v>281</v>
      </c>
      <c r="F95" s="36"/>
      <c r="G95" s="36"/>
      <c r="H95" s="36"/>
      <c r="I95" s="36"/>
      <c r="J95" s="6"/>
      <c r="K95" s="33" t="s">
        <v>69</v>
      </c>
      <c r="L95" s="34" t="s">
        <v>70</v>
      </c>
    </row>
  </sheetData>
  <autoFilter ref="A9:L95"/>
  <mergeCells count="12">
    <mergeCell ref="A10:J10"/>
    <mergeCell ref="A17:J17"/>
    <mergeCell ref="A25:J25"/>
    <mergeCell ref="A40:J40"/>
    <mergeCell ref="A48:J48"/>
    <mergeCell ref="A57:J57"/>
    <mergeCell ref="A64:J64"/>
    <mergeCell ref="A72:J72"/>
    <mergeCell ref="A76:J76"/>
    <mergeCell ref="A80:J80"/>
    <mergeCell ref="A84:J84"/>
    <mergeCell ref="A91:J91"/>
  </mergeCells>
  <conditionalFormatting sqref="F10:F95">
    <cfRule type="cellIs" priority="2" operator="equal" aboveAverage="0" equalAverage="0" bottom="0" percent="0" rank="0" text="" dxfId="11">
      <formula>"완료"</formula>
    </cfRule>
    <cfRule type="cellIs" priority="3" operator="equal" aboveAverage="0" equalAverage="0" bottom="0" percent="0" rank="0" text="" dxfId="12">
      <formula>"확인중"</formula>
    </cfRule>
    <cfRule type="cellIs" priority="4" operator="equal" aboveAverage="0" equalAverage="0" bottom="0" percent="0" rank="0" text="" dxfId="13">
      <formula>"질의필요"</formula>
    </cfRule>
  </conditionalFormatting>
  <conditionalFormatting sqref="L10:L95">
    <cfRule type="cellIs" priority="5" operator="equal" aboveAverage="0" equalAverage="0" bottom="0" percent="0" rank="0" text="" dxfId="11">
      <formula>"A"</formula>
    </cfRule>
    <cfRule type="cellIs" priority="6" operator="equal" aboveAverage="0" equalAverage="0" bottom="0" percent="0" rank="0" text="" dxfId="14">
      <formula>"B"</formula>
    </cfRule>
    <cfRule type="cellIs" priority="7" operator="equal" aboveAverage="0" equalAverage="0" bottom="0" percent="0" rank="0" text="" dxfId="13">
      <formula>"C"</formula>
    </cfRule>
    <cfRule type="cellIs" priority="8" operator="equal" aboveAverage="0" equalAverage="0" bottom="0" percent="0" rank="0" text="" dxfId="15">
      <formula>"D"</formula>
    </cfRule>
  </conditionalFormatting>
  <dataValidations count="2">
    <dataValidation allowBlank="true" errorStyle="stop" operator="between" showDropDown="false" showErrorMessage="false" showInputMessage="false" sqref="F10:F95" type="list">
      <formula1>"완료,확인중,질의필요,해당없음"</formula1>
      <formula2>0</formula2>
    </dataValidation>
    <dataValidation allowBlank="true" errorStyle="stop" operator="between" showDropDown="false" showErrorMessage="false" showInputMessage="false" sqref="G10:G95" type="list">
      <formula1>"반영,조건명시,미반영,해당없음"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26"/>
    <col collapsed="false" customWidth="true" hidden="false" outlineLevel="0" max="4" min="4" style="1" width="56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22"/>
    <col collapsed="false" customWidth="true" hidden="false" outlineLevel="0" max="9" min="9" style="1" width="10"/>
    <col collapsed="false" customWidth="true" hidden="false" outlineLevel="0" max="10" min="10" style="1" width="34"/>
    <col collapsed="false" customWidth="true" hidden="false" outlineLevel="0" max="11" min="11" style="1" width="58"/>
    <col collapsed="false" customWidth="true" hidden="false" outlineLevel="0" max="12" min="12" style="1" width="9"/>
  </cols>
  <sheetData>
    <row r="1" customFormat="false" ht="23.25" hidden="false" customHeight="true" outlineLevel="0" collapsed="false">
      <c r="A1" s="39" t="s">
        <v>282</v>
      </c>
      <c r="H1" s="15" t="s">
        <v>37</v>
      </c>
    </row>
    <row r="2" customFormat="false" ht="15" hidden="false" customHeight="true" outlineLevel="0" collapsed="false">
      <c r="A2" s="16" t="s">
        <v>283</v>
      </c>
      <c r="H2" s="4" t="s">
        <v>39</v>
      </c>
      <c r="I2" s="18" t="n">
        <f aca="false">COUNTA(C12:C66)</f>
        <v>50</v>
      </c>
    </row>
    <row r="3" customFormat="false" ht="15" hidden="false" customHeight="true" outlineLevel="0" collapsed="false">
      <c r="A3" s="19" t="s">
        <v>40</v>
      </c>
      <c r="H3" s="4" t="s">
        <v>284</v>
      </c>
      <c r="I3" s="18" t="n">
        <f aca="false">COUNTIF(E12:E66,"상")</f>
        <v>14</v>
      </c>
    </row>
    <row r="4" customFormat="false" ht="15" hidden="false" customHeight="true" outlineLevel="0" collapsed="false">
      <c r="H4" s="4" t="s">
        <v>41</v>
      </c>
      <c r="I4" s="18" t="n">
        <f aca="false">COUNTIF(G12:G66,"완료")</f>
        <v>0</v>
      </c>
    </row>
    <row r="5" customFormat="false" ht="15" hidden="false" customHeight="true" outlineLevel="0" collapsed="false">
      <c r="H5" s="4" t="s">
        <v>42</v>
      </c>
      <c r="I5" s="18" t="n">
        <f aca="false">COUNTIF(G12:G66,"확인중")</f>
        <v>1</v>
      </c>
    </row>
    <row r="6" customFormat="false" ht="15" hidden="false" customHeight="true" outlineLevel="0" collapsed="false">
      <c r="H6" s="4" t="s">
        <v>43</v>
      </c>
      <c r="I6" s="18" t="n">
        <f aca="false">COUNTIF(G12:G66,"질의필요")</f>
        <v>0</v>
      </c>
    </row>
    <row r="7" customFormat="false" ht="15" hidden="false" customHeight="true" outlineLevel="0" collapsed="false">
      <c r="H7" s="4" t="s">
        <v>47</v>
      </c>
      <c r="I7" s="18" t="n">
        <f aca="false">COUNTIF(G12:G66,"해당없음")</f>
        <v>0</v>
      </c>
    </row>
    <row r="8" customFormat="false" ht="15" hidden="false" customHeight="true" outlineLevel="0" collapsed="false">
      <c r="H8" s="4" t="s">
        <v>285</v>
      </c>
      <c r="I8" s="20" t="n">
        <f aca="false">IF(I2-I7=0,0,I4/(I2-I7))</f>
        <v>0</v>
      </c>
    </row>
    <row r="9" customFormat="false" ht="15" hidden="false" customHeight="true" outlineLevel="0" collapsed="false">
      <c r="H9" s="40" t="s">
        <v>286</v>
      </c>
      <c r="I9" s="18" t="n">
        <f aca="false">COUNTIFS(E12:E66,"상",G12:G66,"완료")</f>
        <v>0</v>
      </c>
    </row>
    <row r="11" customFormat="false" ht="30" hidden="false" customHeight="true" outlineLevel="0" collapsed="false">
      <c r="A11" s="23" t="s">
        <v>48</v>
      </c>
      <c r="B11" s="24" t="s">
        <v>287</v>
      </c>
      <c r="C11" s="24" t="s">
        <v>51</v>
      </c>
      <c r="D11" s="24" t="s">
        <v>288</v>
      </c>
      <c r="E11" s="24" t="s">
        <v>289</v>
      </c>
      <c r="F11" s="24" t="s">
        <v>290</v>
      </c>
      <c r="G11" s="24" t="s">
        <v>53</v>
      </c>
      <c r="H11" s="24" t="s">
        <v>54</v>
      </c>
      <c r="I11" s="24" t="s">
        <v>55</v>
      </c>
      <c r="J11" s="24" t="s">
        <v>57</v>
      </c>
      <c r="K11" s="24" t="s">
        <v>58</v>
      </c>
      <c r="L11" s="24" t="s">
        <v>59</v>
      </c>
    </row>
    <row r="12" customFormat="false" ht="16.5" hidden="false" customHeight="true" outlineLevel="0" collapsed="false">
      <c r="A12" s="25" t="s">
        <v>291</v>
      </c>
      <c r="B12" s="25"/>
      <c r="C12" s="25"/>
      <c r="D12" s="25"/>
      <c r="E12" s="25"/>
      <c r="F12" s="25"/>
      <c r="G12" s="25"/>
      <c r="H12" s="25"/>
      <c r="I12" s="25"/>
      <c r="J12" s="25"/>
      <c r="K12" s="26"/>
      <c r="L12" s="26"/>
    </row>
    <row r="13" customFormat="false" ht="29.25" hidden="false" customHeight="true" outlineLevel="0" collapsed="false">
      <c r="A13" s="27" t="n">
        <v>1</v>
      </c>
      <c r="B13" s="28" t="s">
        <v>292</v>
      </c>
      <c r="C13" s="29" t="s">
        <v>293</v>
      </c>
      <c r="D13" s="29" t="s">
        <v>294</v>
      </c>
      <c r="E13" s="28" t="s">
        <v>295</v>
      </c>
      <c r="F13" s="27" t="s">
        <v>296</v>
      </c>
      <c r="G13" s="30" t="s">
        <v>42</v>
      </c>
      <c r="H13" s="30" t="s">
        <v>297</v>
      </c>
      <c r="I13" s="30" t="s">
        <v>298</v>
      </c>
      <c r="J13" s="32" t="s">
        <v>299</v>
      </c>
      <c r="K13" s="33" t="s">
        <v>300</v>
      </c>
      <c r="L13" s="34" t="s">
        <v>70</v>
      </c>
    </row>
    <row r="14" customFormat="false" ht="29.25" hidden="false" customHeight="true" outlineLevel="0" collapsed="false">
      <c r="A14" s="22" t="n">
        <v>2</v>
      </c>
      <c r="B14" s="35" t="s">
        <v>292</v>
      </c>
      <c r="C14" s="10" t="s">
        <v>301</v>
      </c>
      <c r="D14" s="37" t="s">
        <v>302</v>
      </c>
      <c r="E14" s="41" t="s">
        <v>303</v>
      </c>
      <c r="F14" s="22" t="s">
        <v>304</v>
      </c>
      <c r="G14" s="36"/>
      <c r="H14" s="36"/>
      <c r="I14" s="36"/>
      <c r="J14" s="6"/>
      <c r="K14" s="38" t="s">
        <v>305</v>
      </c>
      <c r="L14" s="34" t="s">
        <v>104</v>
      </c>
    </row>
    <row r="15" customFormat="false" ht="29.25" hidden="false" customHeight="true" outlineLevel="0" collapsed="false">
      <c r="A15" s="35" t="n">
        <v>3</v>
      </c>
      <c r="B15" s="35" t="s">
        <v>292</v>
      </c>
      <c r="C15" s="10" t="s">
        <v>306</v>
      </c>
      <c r="D15" s="10" t="s">
        <v>307</v>
      </c>
      <c r="E15" s="41" t="s">
        <v>303</v>
      </c>
      <c r="F15" s="22" t="s">
        <v>304</v>
      </c>
      <c r="G15" s="36"/>
      <c r="H15" s="36"/>
      <c r="I15" s="36"/>
      <c r="J15" s="6"/>
      <c r="K15" s="38" t="s">
        <v>308</v>
      </c>
      <c r="L15" s="34" t="s">
        <v>108</v>
      </c>
    </row>
    <row r="16" customFormat="false" ht="15" hidden="false" customHeight="true" outlineLevel="0" collapsed="false">
      <c r="A16" s="35" t="n">
        <v>4</v>
      </c>
      <c r="B16" s="35" t="s">
        <v>292</v>
      </c>
      <c r="C16" s="37" t="s">
        <v>309</v>
      </c>
      <c r="D16" s="10" t="s">
        <v>310</v>
      </c>
      <c r="E16" s="35" t="s">
        <v>295</v>
      </c>
      <c r="F16" s="22" t="s">
        <v>311</v>
      </c>
      <c r="G16" s="36"/>
      <c r="H16" s="36"/>
      <c r="I16" s="36"/>
      <c r="J16" s="6"/>
      <c r="K16" s="33" t="s">
        <v>69</v>
      </c>
      <c r="L16" s="34" t="s">
        <v>70</v>
      </c>
    </row>
    <row r="17" customFormat="false" ht="15" hidden="false" customHeight="true" outlineLevel="0" collapsed="false">
      <c r="A17" s="35" t="n">
        <v>5</v>
      </c>
      <c r="B17" s="35" t="s">
        <v>292</v>
      </c>
      <c r="C17" s="37" t="s">
        <v>312</v>
      </c>
      <c r="D17" s="37" t="s">
        <v>313</v>
      </c>
      <c r="E17" s="41" t="s">
        <v>303</v>
      </c>
      <c r="F17" s="22" t="s">
        <v>311</v>
      </c>
      <c r="G17" s="36"/>
      <c r="H17" s="36"/>
      <c r="I17" s="36"/>
      <c r="J17" s="6"/>
      <c r="K17" s="38" t="s">
        <v>314</v>
      </c>
      <c r="L17" s="34" t="s">
        <v>104</v>
      </c>
    </row>
    <row r="18" customFormat="false" ht="29.25" hidden="false" customHeight="true" outlineLevel="0" collapsed="false">
      <c r="A18" s="35" t="n">
        <v>6</v>
      </c>
      <c r="B18" s="35" t="s">
        <v>315</v>
      </c>
      <c r="C18" s="37" t="s">
        <v>316</v>
      </c>
      <c r="D18" s="10" t="s">
        <v>317</v>
      </c>
      <c r="E18" s="35" t="s">
        <v>295</v>
      </c>
      <c r="F18" s="22" t="s">
        <v>318</v>
      </c>
      <c r="G18" s="36"/>
      <c r="H18" s="36"/>
      <c r="I18" s="36"/>
      <c r="J18" s="6"/>
      <c r="K18" s="38" t="s">
        <v>319</v>
      </c>
      <c r="L18" s="34" t="s">
        <v>108</v>
      </c>
    </row>
    <row r="19" customFormat="false" ht="15" hidden="false" customHeight="true" outlineLevel="0" collapsed="false">
      <c r="A19" s="35" t="n">
        <v>7</v>
      </c>
      <c r="B19" s="35" t="s">
        <v>315</v>
      </c>
      <c r="C19" s="10" t="s">
        <v>320</v>
      </c>
      <c r="D19" s="10" t="s">
        <v>321</v>
      </c>
      <c r="E19" s="35" t="s">
        <v>295</v>
      </c>
      <c r="F19" s="22" t="s">
        <v>322</v>
      </c>
      <c r="G19" s="36"/>
      <c r="H19" s="36"/>
      <c r="I19" s="36"/>
      <c r="J19" s="6"/>
      <c r="K19" s="38" t="s">
        <v>323</v>
      </c>
      <c r="L19" s="34" t="s">
        <v>108</v>
      </c>
    </row>
    <row r="20" customFormat="false" ht="15" hidden="false" customHeight="true" outlineLevel="0" collapsed="false">
      <c r="A20" s="35" t="n">
        <v>8</v>
      </c>
      <c r="B20" s="35" t="s">
        <v>315</v>
      </c>
      <c r="C20" s="10" t="s">
        <v>324</v>
      </c>
      <c r="D20" s="10" t="s">
        <v>325</v>
      </c>
      <c r="E20" s="35" t="s">
        <v>295</v>
      </c>
      <c r="F20" s="22" t="s">
        <v>311</v>
      </c>
      <c r="G20" s="36"/>
      <c r="H20" s="36"/>
      <c r="I20" s="36"/>
      <c r="J20" s="6"/>
      <c r="K20" s="38" t="s">
        <v>326</v>
      </c>
      <c r="L20" s="34" t="s">
        <v>108</v>
      </c>
    </row>
    <row r="21" customFormat="false" ht="15" hidden="false" customHeight="true" outlineLevel="0" collapsed="false">
      <c r="A21" s="35" t="n">
        <v>9</v>
      </c>
      <c r="B21" s="35" t="s">
        <v>315</v>
      </c>
      <c r="C21" s="10" t="s">
        <v>327</v>
      </c>
      <c r="D21" s="10" t="s">
        <v>328</v>
      </c>
      <c r="E21" s="35" t="s">
        <v>295</v>
      </c>
      <c r="F21" s="22" t="s">
        <v>311</v>
      </c>
      <c r="G21" s="36"/>
      <c r="H21" s="36"/>
      <c r="I21" s="36"/>
      <c r="J21" s="6"/>
      <c r="K21" s="38" t="s">
        <v>329</v>
      </c>
      <c r="L21" s="34" t="s">
        <v>108</v>
      </c>
    </row>
    <row r="22" customFormat="false" ht="15" hidden="false" customHeight="true" outlineLevel="0" collapsed="false">
      <c r="A22" s="35" t="n">
        <v>10</v>
      </c>
      <c r="B22" s="35" t="s">
        <v>315</v>
      </c>
      <c r="C22" s="10" t="s">
        <v>330</v>
      </c>
      <c r="D22" s="10" t="s">
        <v>331</v>
      </c>
      <c r="E22" s="35" t="s">
        <v>332</v>
      </c>
      <c r="F22" s="35" t="s">
        <v>333</v>
      </c>
      <c r="G22" s="36"/>
      <c r="H22" s="36"/>
      <c r="I22" s="36"/>
      <c r="J22" s="6"/>
      <c r="K22" s="38" t="s">
        <v>334</v>
      </c>
      <c r="L22" s="34" t="s">
        <v>108</v>
      </c>
    </row>
    <row r="23" customFormat="false" ht="27" hidden="false" customHeight="true" outlineLevel="0" collapsed="false">
      <c r="A23" s="35" t="n">
        <v>11</v>
      </c>
      <c r="B23" s="35" t="s">
        <v>335</v>
      </c>
      <c r="C23" s="10" t="s">
        <v>336</v>
      </c>
      <c r="D23" s="37" t="s">
        <v>337</v>
      </c>
      <c r="E23" s="35" t="s">
        <v>295</v>
      </c>
      <c r="F23" s="22" t="s">
        <v>338</v>
      </c>
      <c r="G23" s="36"/>
      <c r="H23" s="36"/>
      <c r="I23" s="36"/>
      <c r="J23" s="6"/>
      <c r="K23" s="38" t="s">
        <v>339</v>
      </c>
      <c r="L23" s="34" t="s">
        <v>104</v>
      </c>
    </row>
    <row r="24" customFormat="false" ht="15" hidden="false" customHeight="true" outlineLevel="0" collapsed="false">
      <c r="A24" s="35" t="n">
        <v>12</v>
      </c>
      <c r="B24" s="35" t="s">
        <v>335</v>
      </c>
      <c r="C24" s="37" t="s">
        <v>340</v>
      </c>
      <c r="D24" s="37" t="s">
        <v>341</v>
      </c>
      <c r="E24" s="35" t="s">
        <v>295</v>
      </c>
      <c r="F24" s="22" t="s">
        <v>342</v>
      </c>
      <c r="G24" s="36"/>
      <c r="H24" s="36"/>
      <c r="I24" s="36"/>
      <c r="J24" s="6"/>
      <c r="K24" s="33" t="s">
        <v>69</v>
      </c>
      <c r="L24" s="34" t="s">
        <v>70</v>
      </c>
    </row>
    <row r="25" customFormat="false" ht="15" hidden="false" customHeight="true" outlineLevel="0" collapsed="false">
      <c r="A25" s="35" t="n">
        <v>13</v>
      </c>
      <c r="B25" s="35" t="s">
        <v>335</v>
      </c>
      <c r="C25" s="37" t="s">
        <v>343</v>
      </c>
      <c r="D25" s="10" t="s">
        <v>344</v>
      </c>
      <c r="E25" s="35" t="s">
        <v>295</v>
      </c>
      <c r="F25" s="22" t="s">
        <v>345</v>
      </c>
      <c r="G25" s="36"/>
      <c r="H25" s="36"/>
      <c r="I25" s="36"/>
      <c r="J25" s="6"/>
      <c r="K25" s="38" t="s">
        <v>346</v>
      </c>
      <c r="L25" s="34" t="s">
        <v>104</v>
      </c>
    </row>
    <row r="26" customFormat="false" ht="16.5" hidden="false" customHeight="true" outlineLevel="0" collapsed="false">
      <c r="A26" s="25" t="s">
        <v>347</v>
      </c>
      <c r="B26" s="25"/>
      <c r="C26" s="25"/>
      <c r="D26" s="25"/>
      <c r="E26" s="25"/>
      <c r="F26" s="25"/>
      <c r="G26" s="25"/>
      <c r="H26" s="25"/>
      <c r="I26" s="25"/>
      <c r="J26" s="25"/>
      <c r="K26" s="26"/>
      <c r="L26" s="26"/>
    </row>
    <row r="27" customFormat="false" ht="29.25" hidden="false" customHeight="true" outlineLevel="0" collapsed="false">
      <c r="A27" s="35" t="n">
        <v>14</v>
      </c>
      <c r="B27" s="35" t="s">
        <v>348</v>
      </c>
      <c r="C27" s="37" t="s">
        <v>349</v>
      </c>
      <c r="D27" s="10" t="s">
        <v>350</v>
      </c>
      <c r="E27" s="41" t="s">
        <v>303</v>
      </c>
      <c r="F27" s="22" t="s">
        <v>342</v>
      </c>
      <c r="G27" s="36"/>
      <c r="H27" s="36"/>
      <c r="I27" s="36"/>
      <c r="J27" s="6"/>
      <c r="K27" s="33" t="s">
        <v>351</v>
      </c>
      <c r="L27" s="34" t="s">
        <v>70</v>
      </c>
    </row>
    <row r="28" customFormat="false" ht="15" hidden="false" customHeight="true" outlineLevel="0" collapsed="false">
      <c r="A28" s="35" t="n">
        <v>15</v>
      </c>
      <c r="B28" s="35" t="s">
        <v>348</v>
      </c>
      <c r="C28" s="37" t="s">
        <v>352</v>
      </c>
      <c r="D28" s="37" t="s">
        <v>353</v>
      </c>
      <c r="E28" s="41" t="s">
        <v>303</v>
      </c>
      <c r="F28" s="22" t="s">
        <v>304</v>
      </c>
      <c r="G28" s="36"/>
      <c r="H28" s="36"/>
      <c r="I28" s="36"/>
      <c r="J28" s="6"/>
      <c r="K28" s="33" t="s">
        <v>354</v>
      </c>
      <c r="L28" s="34" t="s">
        <v>70</v>
      </c>
    </row>
    <row r="29" customFormat="false" ht="15" hidden="false" customHeight="true" outlineLevel="0" collapsed="false">
      <c r="A29" s="35" t="n">
        <v>16</v>
      </c>
      <c r="B29" s="35" t="s">
        <v>348</v>
      </c>
      <c r="C29" s="10" t="s">
        <v>355</v>
      </c>
      <c r="D29" s="37" t="s">
        <v>356</v>
      </c>
      <c r="E29" s="35" t="s">
        <v>295</v>
      </c>
      <c r="F29" s="22" t="s">
        <v>296</v>
      </c>
      <c r="G29" s="36"/>
      <c r="H29" s="36"/>
      <c r="I29" s="36"/>
      <c r="J29" s="6"/>
      <c r="K29" s="38" t="s">
        <v>357</v>
      </c>
      <c r="L29" s="34" t="s">
        <v>345</v>
      </c>
    </row>
    <row r="30" customFormat="false" ht="15" hidden="false" customHeight="true" outlineLevel="0" collapsed="false">
      <c r="A30" s="35" t="n">
        <v>17</v>
      </c>
      <c r="B30" s="35" t="s">
        <v>348</v>
      </c>
      <c r="C30" s="10" t="s">
        <v>358</v>
      </c>
      <c r="D30" s="37" t="s">
        <v>359</v>
      </c>
      <c r="E30" s="35" t="s">
        <v>295</v>
      </c>
      <c r="F30" s="22" t="s">
        <v>338</v>
      </c>
      <c r="G30" s="36"/>
      <c r="H30" s="36"/>
      <c r="I30" s="36"/>
      <c r="J30" s="6"/>
      <c r="K30" s="33" t="s">
        <v>69</v>
      </c>
      <c r="L30" s="34" t="s">
        <v>70</v>
      </c>
    </row>
    <row r="31" customFormat="false" ht="15" hidden="false" customHeight="true" outlineLevel="0" collapsed="false">
      <c r="A31" s="35" t="n">
        <v>18</v>
      </c>
      <c r="B31" s="35" t="s">
        <v>348</v>
      </c>
      <c r="C31" s="37" t="s">
        <v>360</v>
      </c>
      <c r="D31" s="10" t="s">
        <v>361</v>
      </c>
      <c r="E31" s="35" t="s">
        <v>295</v>
      </c>
      <c r="F31" s="22" t="s">
        <v>338</v>
      </c>
      <c r="G31" s="36"/>
      <c r="H31" s="36"/>
      <c r="I31" s="36"/>
      <c r="J31" s="6"/>
      <c r="K31" s="33" t="s">
        <v>69</v>
      </c>
      <c r="L31" s="34" t="s">
        <v>70</v>
      </c>
    </row>
    <row r="32" customFormat="false" ht="15" hidden="false" customHeight="true" outlineLevel="0" collapsed="false">
      <c r="A32" s="35" t="n">
        <v>19</v>
      </c>
      <c r="B32" s="35" t="s">
        <v>348</v>
      </c>
      <c r="C32" s="37" t="s">
        <v>362</v>
      </c>
      <c r="D32" s="37" t="s">
        <v>363</v>
      </c>
      <c r="E32" s="35" t="s">
        <v>295</v>
      </c>
      <c r="F32" s="22" t="s">
        <v>304</v>
      </c>
      <c r="G32" s="36"/>
      <c r="H32" s="36"/>
      <c r="I32" s="36"/>
      <c r="J32" s="6"/>
      <c r="K32" s="33" t="s">
        <v>69</v>
      </c>
      <c r="L32" s="34" t="s">
        <v>70</v>
      </c>
    </row>
    <row r="33" customFormat="false" ht="15" hidden="false" customHeight="true" outlineLevel="0" collapsed="false">
      <c r="A33" s="35" t="n">
        <v>20</v>
      </c>
      <c r="B33" s="35" t="s">
        <v>348</v>
      </c>
      <c r="C33" s="10" t="s">
        <v>364</v>
      </c>
      <c r="D33" s="37" t="s">
        <v>365</v>
      </c>
      <c r="E33" s="35" t="s">
        <v>295</v>
      </c>
      <c r="F33" s="22" t="s">
        <v>304</v>
      </c>
      <c r="G33" s="36"/>
      <c r="H33" s="36"/>
      <c r="I33" s="36"/>
      <c r="J33" s="6"/>
      <c r="K33" s="33" t="s">
        <v>69</v>
      </c>
      <c r="L33" s="34" t="s">
        <v>70</v>
      </c>
    </row>
    <row r="34" customFormat="false" ht="15" hidden="false" customHeight="true" outlineLevel="0" collapsed="false">
      <c r="A34" s="35" t="n">
        <v>21</v>
      </c>
      <c r="B34" s="35" t="s">
        <v>366</v>
      </c>
      <c r="C34" s="10" t="s">
        <v>367</v>
      </c>
      <c r="D34" s="10" t="s">
        <v>368</v>
      </c>
      <c r="E34" s="41" t="s">
        <v>303</v>
      </c>
      <c r="F34" s="22" t="s">
        <v>369</v>
      </c>
      <c r="G34" s="36"/>
      <c r="H34" s="36"/>
      <c r="I34" s="36"/>
      <c r="J34" s="6"/>
      <c r="K34" s="33" t="s">
        <v>69</v>
      </c>
      <c r="L34" s="34" t="s">
        <v>70</v>
      </c>
    </row>
    <row r="35" customFormat="false" ht="15" hidden="false" customHeight="true" outlineLevel="0" collapsed="false">
      <c r="A35" s="35" t="n">
        <v>22</v>
      </c>
      <c r="B35" s="35" t="s">
        <v>366</v>
      </c>
      <c r="C35" s="10" t="s">
        <v>370</v>
      </c>
      <c r="D35" s="37" t="s">
        <v>371</v>
      </c>
      <c r="E35" s="35" t="s">
        <v>295</v>
      </c>
      <c r="F35" s="22" t="s">
        <v>338</v>
      </c>
      <c r="G35" s="36"/>
      <c r="H35" s="36"/>
      <c r="I35" s="36"/>
      <c r="J35" s="6"/>
      <c r="K35" s="38" t="s">
        <v>372</v>
      </c>
      <c r="L35" s="34" t="s">
        <v>108</v>
      </c>
    </row>
    <row r="36" customFormat="false" ht="29.25" hidden="false" customHeight="true" outlineLevel="0" collapsed="false">
      <c r="A36" s="35" t="n">
        <v>23</v>
      </c>
      <c r="B36" s="35" t="s">
        <v>366</v>
      </c>
      <c r="C36" s="10" t="s">
        <v>373</v>
      </c>
      <c r="D36" s="37" t="s">
        <v>374</v>
      </c>
      <c r="E36" s="35" t="s">
        <v>295</v>
      </c>
      <c r="F36" s="22" t="s">
        <v>338</v>
      </c>
      <c r="G36" s="36"/>
      <c r="H36" s="36"/>
      <c r="I36" s="36"/>
      <c r="J36" s="6"/>
      <c r="K36" s="38" t="s">
        <v>375</v>
      </c>
      <c r="L36" s="34" t="s">
        <v>104</v>
      </c>
    </row>
    <row r="37" customFormat="false" ht="15" hidden="false" customHeight="true" outlineLevel="0" collapsed="false">
      <c r="A37" s="35" t="n">
        <v>24</v>
      </c>
      <c r="B37" s="35" t="s">
        <v>366</v>
      </c>
      <c r="C37" s="10" t="s">
        <v>376</v>
      </c>
      <c r="D37" s="10" t="s">
        <v>377</v>
      </c>
      <c r="E37" s="35" t="s">
        <v>332</v>
      </c>
      <c r="F37" s="22" t="s">
        <v>338</v>
      </c>
      <c r="G37" s="36"/>
      <c r="H37" s="36"/>
      <c r="I37" s="36"/>
      <c r="J37" s="6"/>
      <c r="K37" s="33" t="s">
        <v>69</v>
      </c>
      <c r="L37" s="34" t="s">
        <v>70</v>
      </c>
    </row>
    <row r="38" customFormat="false" ht="15" hidden="false" customHeight="true" outlineLevel="0" collapsed="false">
      <c r="A38" s="35" t="n">
        <v>25</v>
      </c>
      <c r="B38" s="35" t="s">
        <v>366</v>
      </c>
      <c r="C38" s="10" t="s">
        <v>378</v>
      </c>
      <c r="D38" s="10" t="s">
        <v>379</v>
      </c>
      <c r="E38" s="35" t="s">
        <v>332</v>
      </c>
      <c r="F38" s="22" t="s">
        <v>338</v>
      </c>
      <c r="G38" s="36"/>
      <c r="H38" s="36"/>
      <c r="I38" s="36"/>
      <c r="J38" s="6"/>
      <c r="K38" s="33" t="s">
        <v>69</v>
      </c>
      <c r="L38" s="34" t="s">
        <v>70</v>
      </c>
    </row>
    <row r="39" customFormat="false" ht="16.5" hidden="false" customHeight="true" outlineLevel="0" collapsed="false">
      <c r="A39" s="25" t="s">
        <v>380</v>
      </c>
      <c r="B39" s="25"/>
      <c r="C39" s="25"/>
      <c r="D39" s="25"/>
      <c r="E39" s="25"/>
      <c r="F39" s="25"/>
      <c r="G39" s="25"/>
      <c r="H39" s="25"/>
      <c r="I39" s="25"/>
      <c r="J39" s="25"/>
      <c r="K39" s="26"/>
      <c r="L39" s="26"/>
    </row>
    <row r="40" customFormat="false" ht="15" hidden="false" customHeight="true" outlineLevel="0" collapsed="false">
      <c r="A40" s="35" t="n">
        <v>26</v>
      </c>
      <c r="B40" s="35" t="s">
        <v>381</v>
      </c>
      <c r="C40" s="37" t="s">
        <v>382</v>
      </c>
      <c r="D40" s="10" t="s">
        <v>383</v>
      </c>
      <c r="E40" s="41" t="s">
        <v>303</v>
      </c>
      <c r="F40" s="22" t="s">
        <v>345</v>
      </c>
      <c r="G40" s="36"/>
      <c r="H40" s="36"/>
      <c r="I40" s="36"/>
      <c r="J40" s="6"/>
      <c r="K40" s="33" t="s">
        <v>384</v>
      </c>
      <c r="L40" s="34" t="s">
        <v>70</v>
      </c>
    </row>
    <row r="41" customFormat="false" ht="15" hidden="false" customHeight="true" outlineLevel="0" collapsed="false">
      <c r="A41" s="35" t="n">
        <v>27</v>
      </c>
      <c r="B41" s="35" t="s">
        <v>381</v>
      </c>
      <c r="C41" s="37" t="s">
        <v>385</v>
      </c>
      <c r="D41" s="37" t="s">
        <v>386</v>
      </c>
      <c r="E41" s="35" t="s">
        <v>295</v>
      </c>
      <c r="F41" s="22" t="s">
        <v>387</v>
      </c>
      <c r="G41" s="36"/>
      <c r="H41" s="36"/>
      <c r="I41" s="36"/>
      <c r="J41" s="6"/>
      <c r="K41" s="33" t="s">
        <v>69</v>
      </c>
      <c r="L41" s="34" t="s">
        <v>70</v>
      </c>
    </row>
    <row r="42" customFormat="false" ht="15" hidden="false" customHeight="true" outlineLevel="0" collapsed="false">
      <c r="A42" s="35" t="n">
        <v>28</v>
      </c>
      <c r="B42" s="35" t="s">
        <v>381</v>
      </c>
      <c r="C42" s="37" t="s">
        <v>388</v>
      </c>
      <c r="D42" s="10" t="s">
        <v>389</v>
      </c>
      <c r="E42" s="35" t="s">
        <v>295</v>
      </c>
      <c r="F42" s="22" t="s">
        <v>390</v>
      </c>
      <c r="G42" s="36"/>
      <c r="H42" s="36"/>
      <c r="I42" s="36"/>
      <c r="J42" s="6"/>
      <c r="K42" s="38" t="s">
        <v>391</v>
      </c>
      <c r="L42" s="34" t="s">
        <v>345</v>
      </c>
    </row>
    <row r="43" customFormat="false" ht="15" hidden="false" customHeight="true" outlineLevel="0" collapsed="false">
      <c r="A43" s="35" t="n">
        <v>29</v>
      </c>
      <c r="B43" s="35" t="s">
        <v>381</v>
      </c>
      <c r="C43" s="10" t="s">
        <v>392</v>
      </c>
      <c r="D43" s="10" t="s">
        <v>393</v>
      </c>
      <c r="E43" s="41" t="s">
        <v>303</v>
      </c>
      <c r="F43" s="22" t="s">
        <v>345</v>
      </c>
      <c r="G43" s="36"/>
      <c r="H43" s="36"/>
      <c r="I43" s="36"/>
      <c r="J43" s="6"/>
      <c r="K43" s="38" t="s">
        <v>394</v>
      </c>
      <c r="L43" s="34" t="s">
        <v>108</v>
      </c>
    </row>
    <row r="44" customFormat="false" ht="15" hidden="false" customHeight="true" outlineLevel="0" collapsed="false">
      <c r="A44" s="35" t="n">
        <v>30</v>
      </c>
      <c r="B44" s="35" t="s">
        <v>381</v>
      </c>
      <c r="C44" s="10" t="s">
        <v>395</v>
      </c>
      <c r="D44" s="10" t="s">
        <v>396</v>
      </c>
      <c r="E44" s="41" t="s">
        <v>303</v>
      </c>
      <c r="F44" s="35" t="s">
        <v>333</v>
      </c>
      <c r="G44" s="36"/>
      <c r="H44" s="36"/>
      <c r="I44" s="36"/>
      <c r="J44" s="6"/>
      <c r="K44" s="38" t="s">
        <v>397</v>
      </c>
      <c r="L44" s="34" t="s">
        <v>108</v>
      </c>
    </row>
    <row r="45" customFormat="false" ht="15" hidden="false" customHeight="true" outlineLevel="0" collapsed="false">
      <c r="A45" s="35" t="n">
        <v>31</v>
      </c>
      <c r="B45" s="35" t="s">
        <v>381</v>
      </c>
      <c r="C45" s="10" t="s">
        <v>398</v>
      </c>
      <c r="D45" s="37" t="s">
        <v>399</v>
      </c>
      <c r="E45" s="35" t="s">
        <v>295</v>
      </c>
      <c r="F45" s="35" t="s">
        <v>333</v>
      </c>
      <c r="G45" s="36"/>
      <c r="H45" s="36"/>
      <c r="I45" s="36"/>
      <c r="J45" s="6"/>
      <c r="K45" s="38" t="s">
        <v>400</v>
      </c>
      <c r="L45" s="34" t="s">
        <v>108</v>
      </c>
    </row>
    <row r="46" customFormat="false" ht="15" hidden="false" customHeight="true" outlineLevel="0" collapsed="false">
      <c r="A46" s="35" t="n">
        <v>32</v>
      </c>
      <c r="B46" s="35" t="s">
        <v>381</v>
      </c>
      <c r="C46" s="10" t="s">
        <v>401</v>
      </c>
      <c r="D46" s="10" t="s">
        <v>402</v>
      </c>
      <c r="E46" s="41" t="s">
        <v>303</v>
      </c>
      <c r="F46" s="22" t="s">
        <v>387</v>
      </c>
      <c r="G46" s="36"/>
      <c r="H46" s="36"/>
      <c r="I46" s="36"/>
      <c r="J46" s="6"/>
      <c r="K46" s="33" t="s">
        <v>69</v>
      </c>
      <c r="L46" s="34" t="s">
        <v>70</v>
      </c>
    </row>
    <row r="47" customFormat="false" ht="15" hidden="false" customHeight="true" outlineLevel="0" collapsed="false">
      <c r="A47" s="35" t="n">
        <v>33</v>
      </c>
      <c r="B47" s="35" t="s">
        <v>381</v>
      </c>
      <c r="C47" s="10" t="s">
        <v>403</v>
      </c>
      <c r="D47" s="10" t="s">
        <v>404</v>
      </c>
      <c r="E47" s="35" t="s">
        <v>295</v>
      </c>
      <c r="F47" s="22" t="s">
        <v>345</v>
      </c>
      <c r="G47" s="36"/>
      <c r="H47" s="36"/>
      <c r="I47" s="36"/>
      <c r="J47" s="6"/>
      <c r="K47" s="33" t="s">
        <v>69</v>
      </c>
      <c r="L47" s="34" t="s">
        <v>70</v>
      </c>
    </row>
    <row r="48" customFormat="false" ht="15" hidden="false" customHeight="true" outlineLevel="0" collapsed="false">
      <c r="A48" s="35" t="n">
        <v>34</v>
      </c>
      <c r="B48" s="35" t="s">
        <v>381</v>
      </c>
      <c r="C48" s="10" t="s">
        <v>405</v>
      </c>
      <c r="D48" s="37" t="s">
        <v>406</v>
      </c>
      <c r="E48" s="35" t="s">
        <v>332</v>
      </c>
      <c r="F48" s="22" t="s">
        <v>345</v>
      </c>
      <c r="G48" s="36"/>
      <c r="H48" s="36"/>
      <c r="I48" s="36"/>
      <c r="J48" s="6"/>
      <c r="K48" s="33" t="s">
        <v>69</v>
      </c>
      <c r="L48" s="34" t="s">
        <v>70</v>
      </c>
    </row>
    <row r="49" customFormat="false" ht="15" hidden="false" customHeight="true" outlineLevel="0" collapsed="false">
      <c r="A49" s="35" t="n">
        <v>35</v>
      </c>
      <c r="B49" s="35" t="s">
        <v>381</v>
      </c>
      <c r="C49" s="10" t="s">
        <v>407</v>
      </c>
      <c r="D49" s="10" t="s">
        <v>408</v>
      </c>
      <c r="E49" s="35" t="s">
        <v>295</v>
      </c>
      <c r="F49" s="22" t="s">
        <v>345</v>
      </c>
      <c r="G49" s="36"/>
      <c r="H49" s="36"/>
      <c r="I49" s="36"/>
      <c r="J49" s="6"/>
      <c r="K49" s="38" t="s">
        <v>409</v>
      </c>
      <c r="L49" s="34" t="s">
        <v>104</v>
      </c>
    </row>
    <row r="50" customFormat="false" ht="15" hidden="false" customHeight="true" outlineLevel="0" collapsed="false">
      <c r="A50" s="35" t="n">
        <v>36</v>
      </c>
      <c r="B50" s="35" t="s">
        <v>381</v>
      </c>
      <c r="C50" s="10" t="s">
        <v>410</v>
      </c>
      <c r="D50" s="10" t="s">
        <v>411</v>
      </c>
      <c r="E50" s="35" t="s">
        <v>295</v>
      </c>
      <c r="F50" s="22" t="s">
        <v>345</v>
      </c>
      <c r="G50" s="36"/>
      <c r="H50" s="36"/>
      <c r="I50" s="36"/>
      <c r="J50" s="6"/>
      <c r="K50" s="33" t="s">
        <v>69</v>
      </c>
      <c r="L50" s="34" t="s">
        <v>70</v>
      </c>
    </row>
    <row r="51" customFormat="false" ht="16.5" hidden="false" customHeight="true" outlineLevel="0" collapsed="false">
      <c r="A51" s="25" t="s">
        <v>412</v>
      </c>
      <c r="B51" s="25"/>
      <c r="C51" s="25"/>
      <c r="D51" s="25"/>
      <c r="E51" s="25"/>
      <c r="F51" s="25"/>
      <c r="G51" s="25"/>
      <c r="H51" s="25"/>
      <c r="I51" s="25"/>
      <c r="J51" s="25"/>
      <c r="K51" s="26"/>
      <c r="L51" s="26"/>
    </row>
    <row r="52" customFormat="false" ht="15" hidden="false" customHeight="true" outlineLevel="0" collapsed="false">
      <c r="A52" s="35" t="n">
        <v>37</v>
      </c>
      <c r="B52" s="35" t="s">
        <v>413</v>
      </c>
      <c r="C52" s="10" t="s">
        <v>414</v>
      </c>
      <c r="D52" s="37" t="s">
        <v>415</v>
      </c>
      <c r="E52" s="35" t="s">
        <v>295</v>
      </c>
      <c r="F52" s="22" t="s">
        <v>345</v>
      </c>
      <c r="G52" s="36"/>
      <c r="H52" s="36"/>
      <c r="I52" s="36"/>
      <c r="J52" s="6"/>
      <c r="K52" s="38" t="s">
        <v>416</v>
      </c>
      <c r="L52" s="34" t="s">
        <v>108</v>
      </c>
    </row>
    <row r="53" customFormat="false" ht="15" hidden="false" customHeight="true" outlineLevel="0" collapsed="false">
      <c r="A53" s="35" t="n">
        <v>38</v>
      </c>
      <c r="B53" s="35" t="s">
        <v>413</v>
      </c>
      <c r="C53" s="10" t="s">
        <v>417</v>
      </c>
      <c r="D53" s="37" t="s">
        <v>418</v>
      </c>
      <c r="E53" s="35" t="s">
        <v>295</v>
      </c>
      <c r="F53" s="22" t="s">
        <v>387</v>
      </c>
      <c r="G53" s="36"/>
      <c r="H53" s="36"/>
      <c r="I53" s="36"/>
      <c r="J53" s="6"/>
      <c r="K53" s="38" t="s">
        <v>419</v>
      </c>
      <c r="L53" s="34" t="s">
        <v>108</v>
      </c>
    </row>
    <row r="54" customFormat="false" ht="15" hidden="false" customHeight="true" outlineLevel="0" collapsed="false">
      <c r="A54" s="35" t="n">
        <v>39</v>
      </c>
      <c r="B54" s="35" t="s">
        <v>420</v>
      </c>
      <c r="C54" s="37" t="s">
        <v>421</v>
      </c>
      <c r="D54" s="37" t="s">
        <v>422</v>
      </c>
      <c r="E54" s="35" t="s">
        <v>295</v>
      </c>
      <c r="F54" s="22" t="s">
        <v>345</v>
      </c>
      <c r="G54" s="36"/>
      <c r="H54" s="36"/>
      <c r="I54" s="36"/>
      <c r="J54" s="6"/>
      <c r="K54" s="33" t="s">
        <v>69</v>
      </c>
      <c r="L54" s="34" t="s">
        <v>70</v>
      </c>
    </row>
    <row r="55" customFormat="false" ht="15" hidden="false" customHeight="true" outlineLevel="0" collapsed="false">
      <c r="A55" s="35" t="n">
        <v>40</v>
      </c>
      <c r="B55" s="35" t="s">
        <v>420</v>
      </c>
      <c r="C55" s="10" t="s">
        <v>423</v>
      </c>
      <c r="D55" s="10" t="s">
        <v>424</v>
      </c>
      <c r="E55" s="35" t="s">
        <v>295</v>
      </c>
      <c r="F55" s="22" t="s">
        <v>345</v>
      </c>
      <c r="G55" s="36"/>
      <c r="H55" s="36"/>
      <c r="I55" s="36"/>
      <c r="J55" s="6"/>
      <c r="K55" s="33" t="s">
        <v>69</v>
      </c>
      <c r="L55" s="34" t="s">
        <v>70</v>
      </c>
    </row>
    <row r="56" customFormat="false" ht="15" hidden="false" customHeight="true" outlineLevel="0" collapsed="false">
      <c r="A56" s="35" t="n">
        <v>41</v>
      </c>
      <c r="B56" s="35" t="s">
        <v>425</v>
      </c>
      <c r="C56" s="37" t="s">
        <v>426</v>
      </c>
      <c r="D56" s="10" t="s">
        <v>427</v>
      </c>
      <c r="E56" s="35" t="s">
        <v>332</v>
      </c>
      <c r="F56" s="22" t="s">
        <v>345</v>
      </c>
      <c r="G56" s="36"/>
      <c r="H56" s="36"/>
      <c r="I56" s="36"/>
      <c r="J56" s="6"/>
      <c r="K56" s="33" t="s">
        <v>69</v>
      </c>
      <c r="L56" s="34" t="s">
        <v>70</v>
      </c>
    </row>
    <row r="57" customFormat="false" ht="15" hidden="false" customHeight="true" outlineLevel="0" collapsed="false">
      <c r="A57" s="35" t="n">
        <v>42</v>
      </c>
      <c r="B57" s="35" t="s">
        <v>425</v>
      </c>
      <c r="C57" s="37" t="s">
        <v>428</v>
      </c>
      <c r="D57" s="37" t="s">
        <v>429</v>
      </c>
      <c r="E57" s="35" t="s">
        <v>332</v>
      </c>
      <c r="F57" s="35" t="s">
        <v>333</v>
      </c>
      <c r="G57" s="36"/>
      <c r="H57" s="36"/>
      <c r="I57" s="36"/>
      <c r="J57" s="6"/>
      <c r="K57" s="33" t="s">
        <v>69</v>
      </c>
      <c r="L57" s="34" t="s">
        <v>70</v>
      </c>
    </row>
    <row r="58" customFormat="false" ht="16.5" hidden="false" customHeight="true" outlineLevel="0" collapsed="false">
      <c r="A58" s="25" t="s">
        <v>430</v>
      </c>
      <c r="B58" s="25"/>
      <c r="C58" s="25"/>
      <c r="D58" s="25"/>
      <c r="E58" s="25"/>
      <c r="F58" s="25"/>
      <c r="G58" s="25"/>
      <c r="H58" s="25"/>
      <c r="I58" s="25"/>
      <c r="J58" s="25"/>
      <c r="K58" s="26"/>
      <c r="L58" s="26"/>
    </row>
    <row r="59" customFormat="false" ht="15" hidden="false" customHeight="true" outlineLevel="0" collapsed="false">
      <c r="A59" s="35" t="n">
        <v>43</v>
      </c>
      <c r="B59" s="22" t="s">
        <v>431</v>
      </c>
      <c r="C59" s="37" t="s">
        <v>432</v>
      </c>
      <c r="D59" s="37" t="s">
        <v>433</v>
      </c>
      <c r="E59" s="41" t="s">
        <v>303</v>
      </c>
      <c r="F59" s="22" t="s">
        <v>390</v>
      </c>
      <c r="G59" s="36"/>
      <c r="H59" s="36"/>
      <c r="I59" s="36"/>
      <c r="J59" s="6"/>
      <c r="K59" s="38" t="s">
        <v>434</v>
      </c>
      <c r="L59" s="34" t="s">
        <v>104</v>
      </c>
    </row>
    <row r="60" customFormat="false" ht="15" hidden="false" customHeight="true" outlineLevel="0" collapsed="false">
      <c r="A60" s="35" t="n">
        <v>44</v>
      </c>
      <c r="B60" s="22" t="s">
        <v>431</v>
      </c>
      <c r="C60" s="10" t="s">
        <v>435</v>
      </c>
      <c r="D60" s="37" t="s">
        <v>436</v>
      </c>
      <c r="E60" s="41" t="s">
        <v>303</v>
      </c>
      <c r="F60" s="22" t="s">
        <v>390</v>
      </c>
      <c r="G60" s="36"/>
      <c r="H60" s="36"/>
      <c r="I60" s="36"/>
      <c r="J60" s="6"/>
      <c r="K60" s="33" t="s">
        <v>69</v>
      </c>
      <c r="L60" s="34" t="s">
        <v>70</v>
      </c>
    </row>
    <row r="61" customFormat="false" ht="15" hidden="false" customHeight="true" outlineLevel="0" collapsed="false">
      <c r="A61" s="35" t="n">
        <v>45</v>
      </c>
      <c r="B61" s="22" t="s">
        <v>431</v>
      </c>
      <c r="C61" s="10" t="s">
        <v>437</v>
      </c>
      <c r="D61" s="10" t="s">
        <v>438</v>
      </c>
      <c r="E61" s="41" t="s">
        <v>303</v>
      </c>
      <c r="F61" s="22" t="s">
        <v>387</v>
      </c>
      <c r="G61" s="36"/>
      <c r="H61" s="36"/>
      <c r="I61" s="36"/>
      <c r="J61" s="6"/>
      <c r="K61" s="38" t="s">
        <v>439</v>
      </c>
      <c r="L61" s="34" t="s">
        <v>108</v>
      </c>
    </row>
    <row r="62" customFormat="false" ht="15" hidden="false" customHeight="true" outlineLevel="0" collapsed="false">
      <c r="A62" s="35" t="n">
        <v>46</v>
      </c>
      <c r="B62" s="22" t="s">
        <v>431</v>
      </c>
      <c r="C62" s="10" t="s">
        <v>440</v>
      </c>
      <c r="D62" s="37" t="s">
        <v>441</v>
      </c>
      <c r="E62" s="35" t="s">
        <v>295</v>
      </c>
      <c r="F62" s="22" t="s">
        <v>296</v>
      </c>
      <c r="G62" s="36"/>
      <c r="H62" s="36"/>
      <c r="I62" s="36"/>
      <c r="J62" s="6"/>
      <c r="K62" s="33" t="s">
        <v>69</v>
      </c>
      <c r="L62" s="34" t="s">
        <v>70</v>
      </c>
    </row>
    <row r="63" customFormat="false" ht="15" hidden="false" customHeight="true" outlineLevel="0" collapsed="false">
      <c r="A63" s="35" t="n">
        <v>47</v>
      </c>
      <c r="B63" s="22" t="s">
        <v>431</v>
      </c>
      <c r="C63" s="10" t="s">
        <v>442</v>
      </c>
      <c r="D63" s="37" t="s">
        <v>443</v>
      </c>
      <c r="E63" s="35" t="s">
        <v>295</v>
      </c>
      <c r="F63" s="22" t="s">
        <v>345</v>
      </c>
      <c r="G63" s="36"/>
      <c r="H63" s="36"/>
      <c r="I63" s="36"/>
      <c r="J63" s="6"/>
      <c r="K63" s="38" t="s">
        <v>444</v>
      </c>
      <c r="L63" s="34" t="s">
        <v>108</v>
      </c>
    </row>
    <row r="64" customFormat="false" ht="15" hidden="false" customHeight="true" outlineLevel="0" collapsed="false">
      <c r="A64" s="35" t="n">
        <v>48</v>
      </c>
      <c r="B64" s="35" t="s">
        <v>445</v>
      </c>
      <c r="C64" s="10" t="s">
        <v>446</v>
      </c>
      <c r="D64" s="10" t="s">
        <v>447</v>
      </c>
      <c r="E64" s="41" t="s">
        <v>303</v>
      </c>
      <c r="F64" s="22" t="s">
        <v>387</v>
      </c>
      <c r="G64" s="36"/>
      <c r="H64" s="36"/>
      <c r="I64" s="36"/>
      <c r="J64" s="6"/>
      <c r="K64" s="33" t="s">
        <v>69</v>
      </c>
      <c r="L64" s="34" t="s">
        <v>70</v>
      </c>
    </row>
    <row r="65" customFormat="false" ht="15" hidden="false" customHeight="true" outlineLevel="0" collapsed="false">
      <c r="A65" s="35" t="n">
        <v>49</v>
      </c>
      <c r="B65" s="35" t="s">
        <v>445</v>
      </c>
      <c r="C65" s="10" t="s">
        <v>448</v>
      </c>
      <c r="D65" s="10" t="s">
        <v>449</v>
      </c>
      <c r="E65" s="35" t="s">
        <v>332</v>
      </c>
      <c r="F65" s="35" t="s">
        <v>333</v>
      </c>
      <c r="G65" s="36"/>
      <c r="H65" s="36"/>
      <c r="I65" s="36"/>
      <c r="J65" s="6"/>
      <c r="K65" s="33" t="s">
        <v>69</v>
      </c>
      <c r="L65" s="34" t="s">
        <v>70</v>
      </c>
    </row>
    <row r="66" customFormat="false" ht="15" hidden="false" customHeight="true" outlineLevel="0" collapsed="false">
      <c r="A66" s="35" t="n">
        <v>50</v>
      </c>
      <c r="B66" s="35" t="s">
        <v>445</v>
      </c>
      <c r="C66" s="10" t="s">
        <v>450</v>
      </c>
      <c r="D66" s="10" t="s">
        <v>451</v>
      </c>
      <c r="E66" s="35" t="s">
        <v>295</v>
      </c>
      <c r="F66" s="35" t="s">
        <v>333</v>
      </c>
      <c r="G66" s="36"/>
      <c r="H66" s="36"/>
      <c r="I66" s="36"/>
      <c r="J66" s="6"/>
      <c r="K66" s="33" t="s">
        <v>69</v>
      </c>
      <c r="L66" s="34" t="s">
        <v>70</v>
      </c>
    </row>
    <row r="69" customFormat="false" ht="18.75" hidden="false" customHeight="true" outlineLevel="0" collapsed="false">
      <c r="A69" s="42" t="s">
        <v>452</v>
      </c>
      <c r="K69" s="26"/>
      <c r="L69" s="26"/>
    </row>
    <row r="70" customFormat="false" ht="15" hidden="false" customHeight="true" outlineLevel="0" collapsed="false">
      <c r="A70" s="16" t="s">
        <v>453</v>
      </c>
      <c r="K70" s="26"/>
      <c r="L70" s="26"/>
    </row>
    <row r="71" customFormat="false" ht="15" hidden="false" customHeight="true" outlineLevel="0" collapsed="false">
      <c r="B71" s="24" t="s">
        <v>49</v>
      </c>
      <c r="C71" s="24" t="s">
        <v>454</v>
      </c>
      <c r="D71" s="24"/>
      <c r="E71" s="24" t="s">
        <v>455</v>
      </c>
      <c r="F71" s="43" t="s">
        <v>456</v>
      </c>
      <c r="G71" s="43"/>
      <c r="H71" s="43"/>
      <c r="I71" s="43"/>
      <c r="J71" s="43"/>
    </row>
    <row r="72" customFormat="false" ht="15" hidden="false" customHeight="true" outlineLevel="0" collapsed="false">
      <c r="B72" s="35" t="s">
        <v>457</v>
      </c>
      <c r="C72" s="10" t="s">
        <v>458</v>
      </c>
      <c r="D72" s="10"/>
      <c r="E72" s="44" t="n">
        <v>1</v>
      </c>
      <c r="F72" s="45" t="s">
        <v>459</v>
      </c>
      <c r="G72" s="45"/>
      <c r="H72" s="45"/>
      <c r="I72" s="45"/>
      <c r="J72" s="45"/>
    </row>
    <row r="73" customFormat="false" ht="15" hidden="false" customHeight="true" outlineLevel="0" collapsed="false">
      <c r="B73" s="35" t="s">
        <v>457</v>
      </c>
      <c r="C73" s="10" t="s">
        <v>460</v>
      </c>
      <c r="D73" s="10"/>
      <c r="E73" s="44" t="n">
        <v>1.15</v>
      </c>
      <c r="F73" s="45" t="s">
        <v>461</v>
      </c>
      <c r="G73" s="45"/>
      <c r="H73" s="45"/>
      <c r="I73" s="45"/>
      <c r="J73" s="45"/>
    </row>
    <row r="74" customFormat="false" ht="15" hidden="false" customHeight="true" outlineLevel="0" collapsed="false">
      <c r="B74" s="35" t="s">
        <v>457</v>
      </c>
      <c r="C74" s="10" t="s">
        <v>462</v>
      </c>
      <c r="D74" s="10"/>
      <c r="E74" s="44" t="n">
        <v>1.6</v>
      </c>
      <c r="F74" s="45" t="s">
        <v>463</v>
      </c>
      <c r="G74" s="45"/>
      <c r="H74" s="45"/>
      <c r="I74" s="45"/>
      <c r="J74" s="45"/>
    </row>
    <row r="75" customFormat="false" ht="15" hidden="false" customHeight="true" outlineLevel="0" collapsed="false">
      <c r="B75" s="35" t="s">
        <v>457</v>
      </c>
      <c r="C75" s="10" t="s">
        <v>464</v>
      </c>
      <c r="D75" s="10"/>
      <c r="E75" s="44" t="n">
        <v>2</v>
      </c>
      <c r="F75" s="45" t="s">
        <v>465</v>
      </c>
      <c r="G75" s="45"/>
      <c r="H75" s="45"/>
      <c r="I75" s="45"/>
      <c r="J75" s="45"/>
    </row>
    <row r="76" customFormat="false" ht="15" hidden="false" customHeight="true" outlineLevel="0" collapsed="false">
      <c r="B76" s="35" t="s">
        <v>457</v>
      </c>
      <c r="C76" s="37" t="s">
        <v>466</v>
      </c>
      <c r="D76" s="37"/>
      <c r="E76" s="44" t="n">
        <v>2.5</v>
      </c>
      <c r="F76" s="45" t="s">
        <v>467</v>
      </c>
      <c r="G76" s="45"/>
      <c r="H76" s="45"/>
      <c r="I76" s="45"/>
      <c r="J76" s="45"/>
    </row>
    <row r="77" customFormat="false" ht="15" hidden="false" customHeight="true" outlineLevel="0" collapsed="false">
      <c r="B77" s="35" t="s">
        <v>468</v>
      </c>
      <c r="C77" s="37" t="s">
        <v>469</v>
      </c>
      <c r="D77" s="37"/>
      <c r="E77" s="44" t="n">
        <v>1.3</v>
      </c>
      <c r="F77" s="45" t="s">
        <v>470</v>
      </c>
      <c r="G77" s="45"/>
      <c r="H77" s="45"/>
      <c r="I77" s="45"/>
      <c r="J77" s="45"/>
    </row>
    <row r="78" customFormat="false" ht="15" hidden="false" customHeight="true" outlineLevel="0" collapsed="false">
      <c r="B78" s="35" t="s">
        <v>468</v>
      </c>
      <c r="C78" s="37" t="s">
        <v>471</v>
      </c>
      <c r="D78" s="37"/>
      <c r="E78" s="44" t="n">
        <v>1.8</v>
      </c>
      <c r="F78" s="45" t="s">
        <v>472</v>
      </c>
      <c r="G78" s="45"/>
      <c r="H78" s="45"/>
      <c r="I78" s="45"/>
      <c r="J78" s="45"/>
    </row>
    <row r="79" customFormat="false" ht="15" hidden="false" customHeight="true" outlineLevel="0" collapsed="false">
      <c r="B79" s="35" t="s">
        <v>206</v>
      </c>
      <c r="C79" s="10" t="s">
        <v>473</v>
      </c>
      <c r="D79" s="10"/>
      <c r="E79" s="44" t="n">
        <v>1.15</v>
      </c>
      <c r="F79" s="45" t="s">
        <v>474</v>
      </c>
      <c r="G79" s="45"/>
      <c r="H79" s="45"/>
      <c r="I79" s="45"/>
      <c r="J79" s="45"/>
    </row>
    <row r="80" customFormat="false" ht="15" hidden="false" customHeight="true" outlineLevel="0" collapsed="false">
      <c r="B80" s="35" t="s">
        <v>206</v>
      </c>
      <c r="C80" s="10" t="s">
        <v>475</v>
      </c>
      <c r="D80" s="10"/>
      <c r="E80" s="44" t="n">
        <v>1.25</v>
      </c>
      <c r="F80" s="46" t="s">
        <v>476</v>
      </c>
      <c r="G80" s="46"/>
      <c r="H80" s="46"/>
      <c r="I80" s="46"/>
      <c r="J80" s="46"/>
    </row>
    <row r="81" customFormat="false" ht="15" hidden="false" customHeight="true" outlineLevel="0" collapsed="false">
      <c r="B81" s="35" t="s">
        <v>206</v>
      </c>
      <c r="C81" s="10" t="s">
        <v>477</v>
      </c>
      <c r="D81" s="10"/>
      <c r="E81" s="44" t="n">
        <v>1.3</v>
      </c>
      <c r="F81" s="45" t="s">
        <v>478</v>
      </c>
      <c r="G81" s="45"/>
      <c r="H81" s="45"/>
      <c r="I81" s="45"/>
      <c r="J81" s="45"/>
    </row>
    <row r="83" customFormat="false" ht="15" hidden="false" customHeight="true" outlineLevel="0" collapsed="false">
      <c r="B83" s="15" t="s">
        <v>479</v>
      </c>
    </row>
    <row r="84" customFormat="false" ht="15" hidden="false" customHeight="true" outlineLevel="0" collapsed="false">
      <c r="B84" s="47" t="s">
        <v>480</v>
      </c>
      <c r="C84" s="47"/>
      <c r="D84" s="47"/>
      <c r="E84" s="48" t="n">
        <v>0.55</v>
      </c>
    </row>
    <row r="85" customFormat="false" ht="15" hidden="false" customHeight="true" outlineLevel="0" collapsed="false">
      <c r="B85" s="49" t="s">
        <v>481</v>
      </c>
      <c r="C85" s="49"/>
      <c r="D85" s="49"/>
      <c r="E85" s="50" t="n">
        <v>5000</v>
      </c>
    </row>
    <row r="86" customFormat="false" ht="15" hidden="false" customHeight="true" outlineLevel="0" collapsed="false">
      <c r="B86" s="47" t="s">
        <v>482</v>
      </c>
      <c r="C86" s="47"/>
      <c r="D86" s="47"/>
      <c r="E86" s="51" t="n">
        <f aca="false">E74</f>
        <v>1.6</v>
      </c>
    </row>
    <row r="87" customFormat="false" ht="15" hidden="false" customHeight="true" outlineLevel="0" collapsed="false">
      <c r="B87" s="47" t="s">
        <v>483</v>
      </c>
      <c r="C87" s="47"/>
      <c r="D87" s="47"/>
      <c r="E87" s="51" t="n">
        <f aca="false">E77</f>
        <v>1.3</v>
      </c>
    </row>
    <row r="88" customFormat="false" ht="15" hidden="false" customHeight="true" outlineLevel="0" collapsed="false">
      <c r="B88" s="47" t="s">
        <v>484</v>
      </c>
      <c r="C88" s="47"/>
      <c r="D88" s="47"/>
      <c r="E88" s="51" t="n">
        <f aca="false">E81</f>
        <v>1.3</v>
      </c>
    </row>
    <row r="89" customFormat="false" ht="15" hidden="false" customHeight="true" outlineLevel="0" collapsed="false">
      <c r="B89" s="52" t="s">
        <v>485</v>
      </c>
      <c r="C89" s="52"/>
      <c r="D89" s="52"/>
      <c r="E89" s="53" t="n">
        <f aca="false">E84*E85*E86*E87*E88</f>
        <v>7436</v>
      </c>
      <c r="F89" s="16" t="s">
        <v>486</v>
      </c>
    </row>
  </sheetData>
  <autoFilter ref="A11:L66"/>
  <mergeCells count="33">
    <mergeCell ref="A12:J12"/>
    <mergeCell ref="A26:J26"/>
    <mergeCell ref="A39:J39"/>
    <mergeCell ref="A51:J51"/>
    <mergeCell ref="A58:J58"/>
    <mergeCell ref="C71:D71"/>
    <mergeCell ref="F71:J71"/>
    <mergeCell ref="C72:D72"/>
    <mergeCell ref="F72:J72"/>
    <mergeCell ref="C73:D73"/>
    <mergeCell ref="F73:J73"/>
    <mergeCell ref="C74:D74"/>
    <mergeCell ref="F74:J74"/>
    <mergeCell ref="C75:D75"/>
    <mergeCell ref="F75:J75"/>
    <mergeCell ref="C76:D76"/>
    <mergeCell ref="F76:J76"/>
    <mergeCell ref="C77:D77"/>
    <mergeCell ref="F77:J77"/>
    <mergeCell ref="C78:D78"/>
    <mergeCell ref="F78:J78"/>
    <mergeCell ref="C79:D79"/>
    <mergeCell ref="F79:J79"/>
    <mergeCell ref="C80:D80"/>
    <mergeCell ref="F80:J80"/>
    <mergeCell ref="C81:D81"/>
    <mergeCell ref="F81:J81"/>
    <mergeCell ref="B84:D84"/>
    <mergeCell ref="B85:D85"/>
    <mergeCell ref="B86:D86"/>
    <mergeCell ref="B87:D87"/>
    <mergeCell ref="B88:D88"/>
    <mergeCell ref="B89:D89"/>
  </mergeCells>
  <conditionalFormatting sqref="G12:G66">
    <cfRule type="cellIs" priority="2" operator="equal" aboveAverage="0" equalAverage="0" bottom="0" percent="0" rank="0" text="" dxfId="11">
      <formula>"완료"</formula>
    </cfRule>
    <cfRule type="cellIs" priority="3" operator="equal" aboveAverage="0" equalAverage="0" bottom="0" percent="0" rank="0" text="" dxfId="12">
      <formula>"확인중"</formula>
    </cfRule>
    <cfRule type="cellIs" priority="4" operator="equal" aboveAverage="0" equalAverage="0" bottom="0" percent="0" rank="0" text="" dxfId="13">
      <formula>"질의필요"</formula>
    </cfRule>
  </conditionalFormatting>
  <conditionalFormatting sqref="L12:L66">
    <cfRule type="cellIs" priority="5" operator="equal" aboveAverage="0" equalAverage="0" bottom="0" percent="0" rank="0" text="" dxfId="11">
      <formula>"A"</formula>
    </cfRule>
    <cfRule type="cellIs" priority="6" operator="equal" aboveAverage="0" equalAverage="0" bottom="0" percent="0" rank="0" text="" dxfId="14">
      <formula>"B"</formula>
    </cfRule>
    <cfRule type="cellIs" priority="7" operator="equal" aboveAverage="0" equalAverage="0" bottom="0" percent="0" rank="0" text="" dxfId="13">
      <formula>"C"</formula>
    </cfRule>
    <cfRule type="cellIs" priority="8" operator="equal" aboveAverage="0" equalAverage="0" bottom="0" percent="0" rank="0" text="" dxfId="15">
      <formula>"D"</formula>
    </cfRule>
  </conditionalFormatting>
  <dataValidations count="2">
    <dataValidation allowBlank="true" errorStyle="stop" operator="between" showDropDown="false" showErrorMessage="false" showInputMessage="false" sqref="G12:G66" type="list">
      <formula1>"완료,확인중,질의필요,해당없음"</formula1>
      <formula2>0</formula2>
    </dataValidation>
    <dataValidation allowBlank="true" errorStyle="stop" operator="between" showDropDown="false" showErrorMessage="false" showInputMessage="false" sqref="H12:H66" type="list">
      <formula1>"반영,조건명시,미반영,해당없음"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26"/>
    <col collapsed="false" customWidth="true" hidden="false" outlineLevel="0" max="4" min="4" style="1" width="56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22"/>
    <col collapsed="false" customWidth="true" hidden="false" outlineLevel="0" max="9" min="9" style="1" width="10"/>
    <col collapsed="false" customWidth="true" hidden="false" outlineLevel="0" max="10" min="10" style="1" width="34"/>
    <col collapsed="false" customWidth="true" hidden="false" outlineLevel="0" max="11" min="11" style="1" width="58"/>
    <col collapsed="false" customWidth="true" hidden="false" outlineLevel="0" max="12" min="12" style="1" width="9"/>
  </cols>
  <sheetData>
    <row r="1" customFormat="false" ht="23.25" hidden="false" customHeight="true" outlineLevel="0" collapsed="false">
      <c r="A1" s="39" t="s">
        <v>487</v>
      </c>
      <c r="H1" s="15" t="s">
        <v>37</v>
      </c>
    </row>
    <row r="2" customFormat="false" ht="15" hidden="false" customHeight="true" outlineLevel="0" collapsed="false">
      <c r="A2" s="54" t="s">
        <v>488</v>
      </c>
      <c r="H2" s="4" t="s">
        <v>39</v>
      </c>
      <c r="I2" s="18" t="n">
        <f aca="false">COUNTA(C12:C78)</f>
        <v>59</v>
      </c>
    </row>
    <row r="3" customFormat="false" ht="15" hidden="false" customHeight="true" outlineLevel="0" collapsed="false">
      <c r="A3" s="19" t="s">
        <v>40</v>
      </c>
      <c r="H3" s="4" t="s">
        <v>284</v>
      </c>
      <c r="I3" s="18" t="n">
        <f aca="false">COUNTIF(E12:E78,"상")</f>
        <v>19</v>
      </c>
    </row>
    <row r="4" customFormat="false" ht="15" hidden="false" customHeight="true" outlineLevel="0" collapsed="false">
      <c r="H4" s="4" t="s">
        <v>41</v>
      </c>
      <c r="I4" s="18" t="n">
        <f aca="false">COUNTIF(G12:G78,"완료")</f>
        <v>1</v>
      </c>
    </row>
    <row r="5" customFormat="false" ht="15" hidden="false" customHeight="true" outlineLevel="0" collapsed="false">
      <c r="H5" s="4" t="s">
        <v>42</v>
      </c>
      <c r="I5" s="18" t="n">
        <f aca="false">COUNTIF(G12:G78,"확인중")</f>
        <v>0</v>
      </c>
    </row>
    <row r="6" customFormat="false" ht="15" hidden="false" customHeight="true" outlineLevel="0" collapsed="false">
      <c r="H6" s="4" t="s">
        <v>43</v>
      </c>
      <c r="I6" s="18" t="n">
        <f aca="false">COUNTIF(G12:G78,"질의필요")</f>
        <v>0</v>
      </c>
    </row>
    <row r="7" customFormat="false" ht="15" hidden="false" customHeight="true" outlineLevel="0" collapsed="false">
      <c r="H7" s="4" t="s">
        <v>47</v>
      </c>
      <c r="I7" s="18" t="n">
        <f aca="false">COUNTIF(G12:G78,"해당없음")</f>
        <v>0</v>
      </c>
    </row>
    <row r="8" customFormat="false" ht="15" hidden="false" customHeight="true" outlineLevel="0" collapsed="false">
      <c r="H8" s="4" t="s">
        <v>285</v>
      </c>
      <c r="I8" s="20" t="n">
        <f aca="false">IF(I2-I7=0,0,I4/(I2-I7))</f>
        <v>0.0169491525423729</v>
      </c>
    </row>
    <row r="9" customFormat="false" ht="15" hidden="false" customHeight="true" outlineLevel="0" collapsed="false">
      <c r="H9" s="40" t="s">
        <v>286</v>
      </c>
      <c r="I9" s="18" t="n">
        <f aca="false">COUNTIFS(E12:E78,"상",G12:G78,"완료")</f>
        <v>1</v>
      </c>
    </row>
    <row r="11" customFormat="false" ht="30" hidden="false" customHeight="true" outlineLevel="0" collapsed="false">
      <c r="A11" s="23" t="s">
        <v>48</v>
      </c>
      <c r="B11" s="24" t="s">
        <v>287</v>
      </c>
      <c r="C11" s="24" t="s">
        <v>51</v>
      </c>
      <c r="D11" s="24" t="s">
        <v>288</v>
      </c>
      <c r="E11" s="24" t="s">
        <v>289</v>
      </c>
      <c r="F11" s="24" t="s">
        <v>290</v>
      </c>
      <c r="G11" s="24" t="s">
        <v>53</v>
      </c>
      <c r="H11" s="24" t="s">
        <v>54</v>
      </c>
      <c r="I11" s="24" t="s">
        <v>55</v>
      </c>
      <c r="J11" s="24" t="s">
        <v>57</v>
      </c>
      <c r="K11" s="24" t="s">
        <v>58</v>
      </c>
      <c r="L11" s="24" t="s">
        <v>59</v>
      </c>
    </row>
    <row r="12" customFormat="false" ht="16.5" hidden="false" customHeight="true" outlineLevel="0" collapsed="false">
      <c r="A12" s="25" t="s">
        <v>489</v>
      </c>
      <c r="B12" s="25"/>
      <c r="C12" s="25"/>
      <c r="D12" s="25"/>
      <c r="E12" s="25"/>
      <c r="F12" s="25"/>
      <c r="G12" s="25"/>
      <c r="H12" s="25"/>
      <c r="I12" s="25"/>
      <c r="J12" s="25"/>
      <c r="K12" s="26"/>
      <c r="L12" s="26"/>
    </row>
    <row r="13" customFormat="false" ht="29.25" hidden="false" customHeight="true" outlineLevel="0" collapsed="false">
      <c r="A13" s="27" t="n">
        <v>1</v>
      </c>
      <c r="B13" s="28" t="s">
        <v>348</v>
      </c>
      <c r="C13" s="29" t="s">
        <v>490</v>
      </c>
      <c r="D13" s="55" t="s">
        <v>491</v>
      </c>
      <c r="E13" s="56" t="s">
        <v>303</v>
      </c>
      <c r="F13" s="27" t="s">
        <v>296</v>
      </c>
      <c r="G13" s="30" t="s">
        <v>41</v>
      </c>
      <c r="H13" s="30" t="s">
        <v>65</v>
      </c>
      <c r="I13" s="30" t="s">
        <v>492</v>
      </c>
      <c r="J13" s="32" t="s">
        <v>493</v>
      </c>
      <c r="K13" s="38" t="s">
        <v>494</v>
      </c>
      <c r="L13" s="34" t="s">
        <v>104</v>
      </c>
    </row>
    <row r="14" customFormat="false" ht="15" hidden="false" customHeight="true" outlineLevel="0" collapsed="false">
      <c r="A14" s="22" t="n">
        <v>2</v>
      </c>
      <c r="B14" s="35" t="s">
        <v>348</v>
      </c>
      <c r="C14" s="10" t="s">
        <v>495</v>
      </c>
      <c r="D14" s="10" t="s">
        <v>496</v>
      </c>
      <c r="E14" s="41" t="s">
        <v>303</v>
      </c>
      <c r="F14" s="22" t="s">
        <v>342</v>
      </c>
      <c r="G14" s="36"/>
      <c r="H14" s="36"/>
      <c r="I14" s="36"/>
      <c r="J14" s="6"/>
      <c r="K14" s="38" t="s">
        <v>497</v>
      </c>
      <c r="L14" s="34" t="s">
        <v>108</v>
      </c>
    </row>
    <row r="15" customFormat="false" ht="15" hidden="false" customHeight="true" outlineLevel="0" collapsed="false">
      <c r="A15" s="35" t="n">
        <v>3</v>
      </c>
      <c r="B15" s="35" t="s">
        <v>348</v>
      </c>
      <c r="C15" s="10" t="s">
        <v>498</v>
      </c>
      <c r="D15" s="10" t="s">
        <v>499</v>
      </c>
      <c r="E15" s="41" t="s">
        <v>303</v>
      </c>
      <c r="F15" s="22" t="s">
        <v>338</v>
      </c>
      <c r="G15" s="36"/>
      <c r="H15" s="36"/>
      <c r="I15" s="36"/>
      <c r="J15" s="6"/>
      <c r="K15" s="38" t="s">
        <v>500</v>
      </c>
      <c r="L15" s="34" t="s">
        <v>108</v>
      </c>
    </row>
    <row r="16" customFormat="false" ht="15" hidden="false" customHeight="true" outlineLevel="0" collapsed="false">
      <c r="A16" s="35" t="n">
        <v>4</v>
      </c>
      <c r="B16" s="35" t="s">
        <v>348</v>
      </c>
      <c r="C16" s="10" t="s">
        <v>501</v>
      </c>
      <c r="D16" s="37" t="s">
        <v>502</v>
      </c>
      <c r="E16" s="35" t="s">
        <v>295</v>
      </c>
      <c r="F16" s="22" t="s">
        <v>342</v>
      </c>
      <c r="G16" s="36"/>
      <c r="H16" s="36"/>
      <c r="I16" s="36"/>
      <c r="J16" s="6"/>
      <c r="K16" s="38" t="s">
        <v>503</v>
      </c>
      <c r="L16" s="34" t="s">
        <v>108</v>
      </c>
    </row>
    <row r="17" customFormat="false" ht="29.25" hidden="false" customHeight="true" outlineLevel="0" collapsed="false">
      <c r="A17" s="35" t="n">
        <v>5</v>
      </c>
      <c r="B17" s="35" t="s">
        <v>348</v>
      </c>
      <c r="C17" s="10" t="s">
        <v>504</v>
      </c>
      <c r="D17" s="37" t="s">
        <v>505</v>
      </c>
      <c r="E17" s="41" t="s">
        <v>303</v>
      </c>
      <c r="F17" s="22" t="s">
        <v>506</v>
      </c>
      <c r="G17" s="36"/>
      <c r="H17" s="36"/>
      <c r="I17" s="36"/>
      <c r="J17" s="6"/>
      <c r="K17" s="38" t="s">
        <v>507</v>
      </c>
      <c r="L17" s="34" t="s">
        <v>108</v>
      </c>
    </row>
    <row r="18" customFormat="false" ht="15" hidden="false" customHeight="true" outlineLevel="0" collapsed="false">
      <c r="A18" s="35" t="n">
        <v>6</v>
      </c>
      <c r="B18" s="35" t="s">
        <v>348</v>
      </c>
      <c r="C18" s="10" t="s">
        <v>508</v>
      </c>
      <c r="D18" s="37" t="s">
        <v>509</v>
      </c>
      <c r="E18" s="41" t="s">
        <v>303</v>
      </c>
      <c r="F18" s="22" t="s">
        <v>304</v>
      </c>
      <c r="G18" s="36"/>
      <c r="H18" s="36"/>
      <c r="I18" s="36"/>
      <c r="J18" s="6"/>
      <c r="K18" s="38" t="s">
        <v>510</v>
      </c>
      <c r="L18" s="34" t="s">
        <v>104</v>
      </c>
    </row>
    <row r="19" customFormat="false" ht="15" hidden="false" customHeight="true" outlineLevel="0" collapsed="false">
      <c r="A19" s="35" t="n">
        <v>7</v>
      </c>
      <c r="B19" s="35" t="s">
        <v>348</v>
      </c>
      <c r="C19" s="10" t="s">
        <v>511</v>
      </c>
      <c r="D19" s="37" t="s">
        <v>512</v>
      </c>
      <c r="E19" s="35" t="s">
        <v>295</v>
      </c>
      <c r="F19" s="22" t="s">
        <v>338</v>
      </c>
      <c r="G19" s="36"/>
      <c r="H19" s="36"/>
      <c r="I19" s="36"/>
      <c r="J19" s="6"/>
      <c r="K19" s="38" t="s">
        <v>513</v>
      </c>
      <c r="L19" s="34" t="s">
        <v>108</v>
      </c>
    </row>
    <row r="20" customFormat="false" ht="15" hidden="false" customHeight="true" outlineLevel="0" collapsed="false">
      <c r="A20" s="35" t="n">
        <v>8</v>
      </c>
      <c r="B20" s="35" t="s">
        <v>348</v>
      </c>
      <c r="C20" s="10" t="s">
        <v>514</v>
      </c>
      <c r="D20" s="37" t="s">
        <v>515</v>
      </c>
      <c r="E20" s="35" t="s">
        <v>295</v>
      </c>
      <c r="F20" s="22" t="s">
        <v>342</v>
      </c>
      <c r="G20" s="36"/>
      <c r="H20" s="36"/>
      <c r="I20" s="36"/>
      <c r="J20" s="6"/>
      <c r="K20" s="38" t="s">
        <v>516</v>
      </c>
      <c r="L20" s="34" t="s">
        <v>104</v>
      </c>
    </row>
    <row r="21" customFormat="false" ht="15" hidden="false" customHeight="true" outlineLevel="0" collapsed="false">
      <c r="A21" s="35" t="n">
        <v>9</v>
      </c>
      <c r="B21" s="35" t="s">
        <v>348</v>
      </c>
      <c r="C21" s="10" t="s">
        <v>517</v>
      </c>
      <c r="D21" s="10" t="s">
        <v>518</v>
      </c>
      <c r="E21" s="35" t="s">
        <v>295</v>
      </c>
      <c r="F21" s="22" t="s">
        <v>304</v>
      </c>
      <c r="G21" s="36"/>
      <c r="H21" s="36"/>
      <c r="I21" s="36"/>
      <c r="J21" s="6"/>
      <c r="K21" s="38" t="s">
        <v>519</v>
      </c>
      <c r="L21" s="34" t="s">
        <v>108</v>
      </c>
    </row>
    <row r="22" customFormat="false" ht="27" hidden="false" customHeight="true" outlineLevel="0" collapsed="false">
      <c r="A22" s="35" t="n">
        <v>10</v>
      </c>
      <c r="B22" s="35" t="s">
        <v>348</v>
      </c>
      <c r="C22" s="10" t="s">
        <v>520</v>
      </c>
      <c r="D22" s="10" t="s">
        <v>521</v>
      </c>
      <c r="E22" s="35" t="s">
        <v>295</v>
      </c>
      <c r="F22" s="22" t="s">
        <v>304</v>
      </c>
      <c r="G22" s="36"/>
      <c r="H22" s="36"/>
      <c r="I22" s="36"/>
      <c r="J22" s="6"/>
      <c r="K22" s="38" t="s">
        <v>522</v>
      </c>
      <c r="L22" s="34" t="s">
        <v>104</v>
      </c>
    </row>
    <row r="23" customFormat="false" ht="15" hidden="false" customHeight="true" outlineLevel="0" collapsed="false">
      <c r="A23" s="35" t="n">
        <v>11</v>
      </c>
      <c r="B23" s="35" t="s">
        <v>348</v>
      </c>
      <c r="C23" s="10" t="s">
        <v>523</v>
      </c>
      <c r="D23" s="10" t="s">
        <v>524</v>
      </c>
      <c r="E23" s="35" t="s">
        <v>295</v>
      </c>
      <c r="F23" s="22" t="s">
        <v>304</v>
      </c>
      <c r="G23" s="36"/>
      <c r="H23" s="36"/>
      <c r="I23" s="36"/>
      <c r="J23" s="6"/>
      <c r="K23" s="33" t="s">
        <v>69</v>
      </c>
      <c r="L23" s="34" t="s">
        <v>70</v>
      </c>
    </row>
    <row r="24" customFormat="false" ht="15" hidden="false" customHeight="true" outlineLevel="0" collapsed="false">
      <c r="A24" s="35" t="n">
        <v>12</v>
      </c>
      <c r="B24" s="35" t="s">
        <v>348</v>
      </c>
      <c r="C24" s="10" t="s">
        <v>525</v>
      </c>
      <c r="D24" s="37" t="s">
        <v>526</v>
      </c>
      <c r="E24" s="35" t="s">
        <v>295</v>
      </c>
      <c r="F24" s="22" t="s">
        <v>304</v>
      </c>
      <c r="G24" s="36"/>
      <c r="H24" s="36"/>
      <c r="I24" s="36"/>
      <c r="J24" s="6"/>
      <c r="K24" s="33" t="s">
        <v>69</v>
      </c>
      <c r="L24" s="34" t="s">
        <v>70</v>
      </c>
    </row>
    <row r="25" customFormat="false" ht="15" hidden="false" customHeight="true" outlineLevel="0" collapsed="false">
      <c r="A25" s="35" t="n">
        <v>13</v>
      </c>
      <c r="B25" s="35" t="s">
        <v>348</v>
      </c>
      <c r="C25" s="10" t="s">
        <v>527</v>
      </c>
      <c r="D25" s="10" t="s">
        <v>528</v>
      </c>
      <c r="E25" s="35" t="s">
        <v>332</v>
      </c>
      <c r="F25" s="22" t="s">
        <v>338</v>
      </c>
      <c r="G25" s="36"/>
      <c r="H25" s="36"/>
      <c r="I25" s="36"/>
      <c r="J25" s="6"/>
      <c r="K25" s="33" t="s">
        <v>69</v>
      </c>
      <c r="L25" s="34" t="s">
        <v>70</v>
      </c>
    </row>
    <row r="26" customFormat="false" ht="16.5" hidden="false" customHeight="true" outlineLevel="0" collapsed="false">
      <c r="A26" s="25" t="s">
        <v>529</v>
      </c>
      <c r="B26" s="25"/>
      <c r="C26" s="25"/>
      <c r="D26" s="25"/>
      <c r="E26" s="25"/>
      <c r="F26" s="25"/>
      <c r="G26" s="25"/>
      <c r="H26" s="25"/>
      <c r="I26" s="25"/>
      <c r="J26" s="25"/>
      <c r="K26" s="26"/>
      <c r="L26" s="26"/>
    </row>
    <row r="27" customFormat="false" ht="15" hidden="false" customHeight="true" outlineLevel="0" collapsed="false">
      <c r="A27" s="35" t="n">
        <v>14</v>
      </c>
      <c r="B27" s="35" t="s">
        <v>315</v>
      </c>
      <c r="C27" s="10" t="s">
        <v>530</v>
      </c>
      <c r="D27" s="10" t="s">
        <v>531</v>
      </c>
      <c r="E27" s="41" t="s">
        <v>303</v>
      </c>
      <c r="F27" s="22" t="s">
        <v>532</v>
      </c>
      <c r="G27" s="36"/>
      <c r="H27" s="36"/>
      <c r="I27" s="36"/>
      <c r="J27" s="6"/>
      <c r="K27" s="38" t="s">
        <v>533</v>
      </c>
      <c r="L27" s="34" t="s">
        <v>108</v>
      </c>
    </row>
    <row r="28" customFormat="false" ht="29.25" hidden="false" customHeight="true" outlineLevel="0" collapsed="false">
      <c r="A28" s="35" t="n">
        <v>15</v>
      </c>
      <c r="B28" s="35" t="s">
        <v>315</v>
      </c>
      <c r="C28" s="10" t="s">
        <v>534</v>
      </c>
      <c r="D28" s="10" t="s">
        <v>535</v>
      </c>
      <c r="E28" s="41" t="s">
        <v>303</v>
      </c>
      <c r="F28" s="35" t="s">
        <v>536</v>
      </c>
      <c r="G28" s="36"/>
      <c r="H28" s="36"/>
      <c r="I28" s="36"/>
      <c r="J28" s="6"/>
      <c r="K28" s="38" t="s">
        <v>537</v>
      </c>
      <c r="L28" s="34" t="s">
        <v>108</v>
      </c>
    </row>
    <row r="29" customFormat="false" ht="15" hidden="false" customHeight="true" outlineLevel="0" collapsed="false">
      <c r="A29" s="35" t="n">
        <v>16</v>
      </c>
      <c r="B29" s="35" t="s">
        <v>315</v>
      </c>
      <c r="C29" s="10" t="s">
        <v>538</v>
      </c>
      <c r="D29" s="10" t="s">
        <v>539</v>
      </c>
      <c r="E29" s="35" t="s">
        <v>295</v>
      </c>
      <c r="F29" s="35" t="s">
        <v>84</v>
      </c>
      <c r="G29" s="36"/>
      <c r="H29" s="36"/>
      <c r="I29" s="36"/>
      <c r="J29" s="6"/>
      <c r="K29" s="38" t="s">
        <v>540</v>
      </c>
      <c r="L29" s="34" t="s">
        <v>108</v>
      </c>
    </row>
    <row r="30" customFormat="false" ht="15" hidden="false" customHeight="true" outlineLevel="0" collapsed="false">
      <c r="A30" s="35" t="n">
        <v>17</v>
      </c>
      <c r="B30" s="35" t="s">
        <v>315</v>
      </c>
      <c r="C30" s="10" t="s">
        <v>541</v>
      </c>
      <c r="D30" s="10" t="s">
        <v>542</v>
      </c>
      <c r="E30" s="35" t="s">
        <v>295</v>
      </c>
      <c r="F30" s="22" t="s">
        <v>311</v>
      </c>
      <c r="G30" s="36"/>
      <c r="H30" s="36"/>
      <c r="I30" s="36"/>
      <c r="J30" s="6"/>
      <c r="K30" s="38" t="s">
        <v>543</v>
      </c>
      <c r="L30" s="34" t="s">
        <v>108</v>
      </c>
    </row>
    <row r="31" customFormat="false" ht="15" hidden="false" customHeight="true" outlineLevel="0" collapsed="false">
      <c r="A31" s="35" t="n">
        <v>18</v>
      </c>
      <c r="B31" s="35" t="s">
        <v>315</v>
      </c>
      <c r="C31" s="10" t="s">
        <v>544</v>
      </c>
      <c r="D31" s="37" t="s">
        <v>545</v>
      </c>
      <c r="E31" s="35" t="s">
        <v>295</v>
      </c>
      <c r="F31" s="22" t="s">
        <v>304</v>
      </c>
      <c r="G31" s="36"/>
      <c r="H31" s="36"/>
      <c r="I31" s="36"/>
      <c r="J31" s="6"/>
      <c r="K31" s="38" t="s">
        <v>546</v>
      </c>
      <c r="L31" s="34" t="s">
        <v>108</v>
      </c>
    </row>
    <row r="32" customFormat="false" ht="16.5" hidden="false" customHeight="true" outlineLevel="0" collapsed="false">
      <c r="A32" s="25" t="s">
        <v>547</v>
      </c>
      <c r="B32" s="25"/>
      <c r="C32" s="25"/>
      <c r="D32" s="25"/>
      <c r="E32" s="25"/>
      <c r="F32" s="25"/>
      <c r="G32" s="25"/>
      <c r="H32" s="25"/>
      <c r="I32" s="25"/>
      <c r="J32" s="25"/>
      <c r="K32" s="26"/>
      <c r="L32" s="26"/>
    </row>
    <row r="33" customFormat="false" ht="15" hidden="false" customHeight="true" outlineLevel="0" collapsed="false">
      <c r="A33" s="35" t="n">
        <v>19</v>
      </c>
      <c r="B33" s="35" t="s">
        <v>548</v>
      </c>
      <c r="C33" s="10" t="s">
        <v>549</v>
      </c>
      <c r="D33" s="10" t="s">
        <v>550</v>
      </c>
      <c r="E33" s="41" t="s">
        <v>303</v>
      </c>
      <c r="F33" s="22" t="s">
        <v>345</v>
      </c>
      <c r="G33" s="36"/>
      <c r="H33" s="36"/>
      <c r="I33" s="36"/>
      <c r="J33" s="6"/>
      <c r="K33" s="38" t="s">
        <v>551</v>
      </c>
      <c r="L33" s="34" t="s">
        <v>104</v>
      </c>
    </row>
    <row r="34" customFormat="false" ht="15" hidden="false" customHeight="true" outlineLevel="0" collapsed="false">
      <c r="A34" s="35" t="n">
        <v>20</v>
      </c>
      <c r="B34" s="35" t="s">
        <v>548</v>
      </c>
      <c r="C34" s="10" t="s">
        <v>552</v>
      </c>
      <c r="D34" s="37" t="s">
        <v>553</v>
      </c>
      <c r="E34" s="41" t="s">
        <v>303</v>
      </c>
      <c r="F34" s="22" t="s">
        <v>554</v>
      </c>
      <c r="G34" s="36"/>
      <c r="H34" s="36"/>
      <c r="I34" s="36"/>
      <c r="J34" s="6"/>
      <c r="K34" s="38" t="s">
        <v>555</v>
      </c>
      <c r="L34" s="34" t="s">
        <v>108</v>
      </c>
    </row>
    <row r="35" customFormat="false" ht="15" hidden="false" customHeight="true" outlineLevel="0" collapsed="false">
      <c r="A35" s="35" t="n">
        <v>21</v>
      </c>
      <c r="B35" s="35" t="s">
        <v>548</v>
      </c>
      <c r="C35" s="10" t="s">
        <v>556</v>
      </c>
      <c r="D35" s="10" t="s">
        <v>557</v>
      </c>
      <c r="E35" s="35" t="s">
        <v>295</v>
      </c>
      <c r="F35" s="22" t="s">
        <v>345</v>
      </c>
      <c r="G35" s="36"/>
      <c r="H35" s="36"/>
      <c r="I35" s="36"/>
      <c r="J35" s="6"/>
      <c r="K35" s="38" t="s">
        <v>558</v>
      </c>
      <c r="L35" s="34" t="s">
        <v>104</v>
      </c>
    </row>
    <row r="36" customFormat="false" ht="15" hidden="false" customHeight="true" outlineLevel="0" collapsed="false">
      <c r="A36" s="35" t="n">
        <v>22</v>
      </c>
      <c r="B36" s="35" t="s">
        <v>548</v>
      </c>
      <c r="C36" s="10" t="s">
        <v>559</v>
      </c>
      <c r="D36" s="10" t="s">
        <v>560</v>
      </c>
      <c r="E36" s="35" t="s">
        <v>295</v>
      </c>
      <c r="F36" s="22" t="s">
        <v>304</v>
      </c>
      <c r="G36" s="36"/>
      <c r="H36" s="36"/>
      <c r="I36" s="36"/>
      <c r="J36" s="6"/>
      <c r="K36" s="38" t="s">
        <v>561</v>
      </c>
      <c r="L36" s="34" t="s">
        <v>104</v>
      </c>
    </row>
    <row r="37" customFormat="false" ht="15" hidden="false" customHeight="true" outlineLevel="0" collapsed="false">
      <c r="A37" s="35" t="n">
        <v>23</v>
      </c>
      <c r="B37" s="35" t="s">
        <v>548</v>
      </c>
      <c r="C37" s="10" t="s">
        <v>562</v>
      </c>
      <c r="D37" s="10" t="s">
        <v>563</v>
      </c>
      <c r="E37" s="35" t="s">
        <v>295</v>
      </c>
      <c r="F37" s="22" t="s">
        <v>345</v>
      </c>
      <c r="G37" s="36"/>
      <c r="H37" s="36"/>
      <c r="I37" s="36"/>
      <c r="J37" s="6"/>
      <c r="K37" s="38" t="s">
        <v>564</v>
      </c>
      <c r="L37" s="34" t="s">
        <v>108</v>
      </c>
    </row>
    <row r="38" customFormat="false" ht="15" hidden="false" customHeight="true" outlineLevel="0" collapsed="false">
      <c r="A38" s="35" t="n">
        <v>24</v>
      </c>
      <c r="B38" s="35" t="s">
        <v>548</v>
      </c>
      <c r="C38" s="10" t="s">
        <v>565</v>
      </c>
      <c r="D38" s="10" t="s">
        <v>566</v>
      </c>
      <c r="E38" s="41" t="s">
        <v>303</v>
      </c>
      <c r="F38" s="22" t="s">
        <v>345</v>
      </c>
      <c r="G38" s="36"/>
      <c r="H38" s="36"/>
      <c r="I38" s="36"/>
      <c r="J38" s="6"/>
      <c r="K38" s="33" t="s">
        <v>69</v>
      </c>
      <c r="L38" s="34" t="s">
        <v>70</v>
      </c>
    </row>
    <row r="39" customFormat="false" ht="16.5" hidden="false" customHeight="true" outlineLevel="0" collapsed="false">
      <c r="A39" s="25" t="s">
        <v>567</v>
      </c>
      <c r="B39" s="25"/>
      <c r="C39" s="25"/>
      <c r="D39" s="25"/>
      <c r="E39" s="25"/>
      <c r="F39" s="25"/>
      <c r="G39" s="25"/>
      <c r="H39" s="25"/>
      <c r="I39" s="25"/>
      <c r="J39" s="25"/>
      <c r="K39" s="26"/>
      <c r="L39" s="26"/>
    </row>
    <row r="40" customFormat="false" ht="15" hidden="false" customHeight="true" outlineLevel="0" collapsed="false">
      <c r="A40" s="35" t="n">
        <v>25</v>
      </c>
      <c r="B40" s="35" t="s">
        <v>366</v>
      </c>
      <c r="C40" s="10" t="s">
        <v>568</v>
      </c>
      <c r="D40" s="10" t="s">
        <v>569</v>
      </c>
      <c r="E40" s="41" t="s">
        <v>303</v>
      </c>
      <c r="F40" s="22" t="s">
        <v>338</v>
      </c>
      <c r="G40" s="36"/>
      <c r="H40" s="36"/>
      <c r="I40" s="36"/>
      <c r="J40" s="6"/>
      <c r="K40" s="33" t="s">
        <v>69</v>
      </c>
      <c r="L40" s="34" t="s">
        <v>70</v>
      </c>
    </row>
    <row r="41" customFormat="false" ht="15" hidden="false" customHeight="true" outlineLevel="0" collapsed="false">
      <c r="A41" s="35" t="n">
        <v>26</v>
      </c>
      <c r="B41" s="35" t="s">
        <v>366</v>
      </c>
      <c r="C41" s="10" t="s">
        <v>570</v>
      </c>
      <c r="D41" s="10" t="s">
        <v>571</v>
      </c>
      <c r="E41" s="41" t="s">
        <v>303</v>
      </c>
      <c r="F41" s="22" t="s">
        <v>369</v>
      </c>
      <c r="G41" s="36"/>
      <c r="H41" s="36"/>
      <c r="I41" s="36"/>
      <c r="J41" s="6"/>
      <c r="K41" s="33" t="s">
        <v>69</v>
      </c>
      <c r="L41" s="34" t="s">
        <v>70</v>
      </c>
    </row>
    <row r="42" customFormat="false" ht="15" hidden="false" customHeight="true" outlineLevel="0" collapsed="false">
      <c r="A42" s="35" t="n">
        <v>27</v>
      </c>
      <c r="B42" s="35" t="s">
        <v>366</v>
      </c>
      <c r="C42" s="10" t="s">
        <v>572</v>
      </c>
      <c r="D42" s="37" t="s">
        <v>573</v>
      </c>
      <c r="E42" s="35" t="s">
        <v>295</v>
      </c>
      <c r="F42" s="22" t="s">
        <v>338</v>
      </c>
      <c r="G42" s="36"/>
      <c r="H42" s="36"/>
      <c r="I42" s="36"/>
      <c r="J42" s="6"/>
      <c r="K42" s="38" t="s">
        <v>574</v>
      </c>
      <c r="L42" s="34" t="s">
        <v>108</v>
      </c>
    </row>
    <row r="43" customFormat="false" ht="15" hidden="false" customHeight="true" outlineLevel="0" collapsed="false">
      <c r="A43" s="35" t="n">
        <v>28</v>
      </c>
      <c r="B43" s="35" t="s">
        <v>366</v>
      </c>
      <c r="C43" s="10" t="s">
        <v>575</v>
      </c>
      <c r="D43" s="10" t="s">
        <v>576</v>
      </c>
      <c r="E43" s="35" t="s">
        <v>295</v>
      </c>
      <c r="F43" s="22" t="s">
        <v>577</v>
      </c>
      <c r="G43" s="36"/>
      <c r="H43" s="36"/>
      <c r="I43" s="36"/>
      <c r="J43" s="6"/>
      <c r="K43" s="33" t="s">
        <v>69</v>
      </c>
      <c r="L43" s="34" t="s">
        <v>70</v>
      </c>
    </row>
    <row r="44" customFormat="false" ht="15" hidden="false" customHeight="true" outlineLevel="0" collapsed="false">
      <c r="A44" s="35" t="n">
        <v>29</v>
      </c>
      <c r="B44" s="35" t="s">
        <v>366</v>
      </c>
      <c r="C44" s="10" t="s">
        <v>578</v>
      </c>
      <c r="D44" s="10" t="s">
        <v>579</v>
      </c>
      <c r="E44" s="35" t="s">
        <v>295</v>
      </c>
      <c r="F44" s="22" t="s">
        <v>338</v>
      </c>
      <c r="G44" s="36"/>
      <c r="H44" s="36"/>
      <c r="I44" s="36"/>
      <c r="J44" s="6"/>
      <c r="K44" s="38" t="s">
        <v>580</v>
      </c>
      <c r="L44" s="34" t="s">
        <v>104</v>
      </c>
    </row>
    <row r="45" customFormat="false" ht="15" hidden="false" customHeight="true" outlineLevel="0" collapsed="false">
      <c r="A45" s="35" t="n">
        <v>30</v>
      </c>
      <c r="B45" s="35" t="s">
        <v>366</v>
      </c>
      <c r="C45" s="10" t="s">
        <v>581</v>
      </c>
      <c r="D45" s="10" t="s">
        <v>582</v>
      </c>
      <c r="E45" s="35" t="s">
        <v>332</v>
      </c>
      <c r="F45" s="22" t="s">
        <v>338</v>
      </c>
      <c r="G45" s="36"/>
      <c r="H45" s="36"/>
      <c r="I45" s="36"/>
      <c r="J45" s="6"/>
      <c r="K45" s="33" t="s">
        <v>69</v>
      </c>
      <c r="L45" s="34" t="s">
        <v>70</v>
      </c>
    </row>
    <row r="46" customFormat="false" ht="15" hidden="false" customHeight="true" outlineLevel="0" collapsed="false">
      <c r="A46" s="35" t="n">
        <v>31</v>
      </c>
      <c r="B46" s="35" t="s">
        <v>366</v>
      </c>
      <c r="C46" s="10" t="s">
        <v>583</v>
      </c>
      <c r="D46" s="10" t="s">
        <v>584</v>
      </c>
      <c r="E46" s="35" t="s">
        <v>332</v>
      </c>
      <c r="F46" s="22" t="s">
        <v>345</v>
      </c>
      <c r="G46" s="36"/>
      <c r="H46" s="36"/>
      <c r="I46" s="36"/>
      <c r="J46" s="6"/>
      <c r="K46" s="33" t="s">
        <v>69</v>
      </c>
      <c r="L46" s="34" t="s">
        <v>70</v>
      </c>
    </row>
    <row r="47" customFormat="false" ht="16.5" hidden="false" customHeight="true" outlineLevel="0" collapsed="false">
      <c r="A47" s="25" t="s">
        <v>585</v>
      </c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26"/>
    </row>
    <row r="48" customFormat="false" ht="15" hidden="false" customHeight="true" outlineLevel="0" collapsed="false">
      <c r="A48" s="35" t="n">
        <v>32</v>
      </c>
      <c r="B48" s="35" t="s">
        <v>586</v>
      </c>
      <c r="C48" s="10" t="s">
        <v>587</v>
      </c>
      <c r="D48" s="10" t="s">
        <v>588</v>
      </c>
      <c r="E48" s="35" t="s">
        <v>295</v>
      </c>
      <c r="F48" s="22" t="s">
        <v>345</v>
      </c>
      <c r="G48" s="36"/>
      <c r="H48" s="36"/>
      <c r="I48" s="36"/>
      <c r="J48" s="6"/>
      <c r="K48" s="33" t="s">
        <v>69</v>
      </c>
      <c r="L48" s="34" t="s">
        <v>70</v>
      </c>
    </row>
    <row r="49" customFormat="false" ht="15" hidden="false" customHeight="true" outlineLevel="0" collapsed="false">
      <c r="A49" s="35" t="n">
        <v>33</v>
      </c>
      <c r="B49" s="35" t="s">
        <v>589</v>
      </c>
      <c r="C49" s="10" t="s">
        <v>590</v>
      </c>
      <c r="D49" s="37" t="s">
        <v>591</v>
      </c>
      <c r="E49" s="41" t="s">
        <v>303</v>
      </c>
      <c r="F49" s="22" t="s">
        <v>345</v>
      </c>
      <c r="G49" s="36"/>
      <c r="H49" s="36"/>
      <c r="I49" s="36"/>
      <c r="J49" s="6"/>
      <c r="K49" s="33" t="s">
        <v>69</v>
      </c>
      <c r="L49" s="34" t="s">
        <v>70</v>
      </c>
    </row>
    <row r="50" customFormat="false" ht="15" hidden="false" customHeight="true" outlineLevel="0" collapsed="false">
      <c r="A50" s="35" t="n">
        <v>34</v>
      </c>
      <c r="B50" s="35" t="s">
        <v>589</v>
      </c>
      <c r="C50" s="10" t="s">
        <v>592</v>
      </c>
      <c r="D50" s="10" t="s">
        <v>593</v>
      </c>
      <c r="E50" s="41" t="s">
        <v>303</v>
      </c>
      <c r="F50" s="22" t="s">
        <v>345</v>
      </c>
      <c r="G50" s="36"/>
      <c r="H50" s="36"/>
      <c r="I50" s="36"/>
      <c r="J50" s="6"/>
      <c r="K50" s="33" t="s">
        <v>69</v>
      </c>
      <c r="L50" s="34" t="s">
        <v>70</v>
      </c>
    </row>
    <row r="51" customFormat="false" ht="15" hidden="false" customHeight="true" outlineLevel="0" collapsed="false">
      <c r="A51" s="35" t="n">
        <v>35</v>
      </c>
      <c r="B51" s="35" t="s">
        <v>589</v>
      </c>
      <c r="C51" s="10" t="s">
        <v>594</v>
      </c>
      <c r="D51" s="37" t="s">
        <v>595</v>
      </c>
      <c r="E51" s="35" t="s">
        <v>295</v>
      </c>
      <c r="F51" s="22" t="s">
        <v>345</v>
      </c>
      <c r="G51" s="36"/>
      <c r="H51" s="36"/>
      <c r="I51" s="36"/>
      <c r="J51" s="6"/>
      <c r="K51" s="33" t="s">
        <v>69</v>
      </c>
      <c r="L51" s="34" t="s">
        <v>70</v>
      </c>
    </row>
    <row r="52" customFormat="false" ht="15" hidden="false" customHeight="true" outlineLevel="0" collapsed="false">
      <c r="A52" s="35" t="n">
        <v>36</v>
      </c>
      <c r="B52" s="35" t="s">
        <v>589</v>
      </c>
      <c r="C52" s="10" t="s">
        <v>596</v>
      </c>
      <c r="D52" s="10" t="s">
        <v>597</v>
      </c>
      <c r="E52" s="35" t="s">
        <v>295</v>
      </c>
      <c r="F52" s="22" t="s">
        <v>387</v>
      </c>
      <c r="G52" s="36"/>
      <c r="H52" s="36"/>
      <c r="I52" s="36"/>
      <c r="J52" s="6"/>
      <c r="K52" s="33" t="s">
        <v>69</v>
      </c>
      <c r="L52" s="34" t="s">
        <v>70</v>
      </c>
    </row>
    <row r="53" customFormat="false" ht="15" hidden="false" customHeight="true" outlineLevel="0" collapsed="false">
      <c r="A53" s="35" t="n">
        <v>37</v>
      </c>
      <c r="B53" s="35" t="s">
        <v>589</v>
      </c>
      <c r="C53" s="10" t="s">
        <v>598</v>
      </c>
      <c r="D53" s="10" t="s">
        <v>599</v>
      </c>
      <c r="E53" s="35" t="s">
        <v>295</v>
      </c>
      <c r="F53" s="22" t="s">
        <v>345</v>
      </c>
      <c r="G53" s="36"/>
      <c r="H53" s="36"/>
      <c r="I53" s="36"/>
      <c r="J53" s="6"/>
      <c r="K53" s="33" t="s">
        <v>69</v>
      </c>
      <c r="L53" s="34" t="s">
        <v>70</v>
      </c>
    </row>
    <row r="54" customFormat="false" ht="15" hidden="false" customHeight="true" outlineLevel="0" collapsed="false">
      <c r="A54" s="35" t="n">
        <v>38</v>
      </c>
      <c r="B54" s="35" t="s">
        <v>589</v>
      </c>
      <c r="C54" s="10" t="s">
        <v>392</v>
      </c>
      <c r="D54" s="10" t="s">
        <v>600</v>
      </c>
      <c r="E54" s="35" t="s">
        <v>295</v>
      </c>
      <c r="F54" s="22" t="s">
        <v>345</v>
      </c>
      <c r="G54" s="36"/>
      <c r="H54" s="36"/>
      <c r="I54" s="36"/>
      <c r="J54" s="6"/>
      <c r="K54" s="38" t="s">
        <v>601</v>
      </c>
      <c r="L54" s="34" t="s">
        <v>108</v>
      </c>
    </row>
    <row r="55" customFormat="false" ht="15" hidden="false" customHeight="true" outlineLevel="0" collapsed="false">
      <c r="A55" s="35" t="n">
        <v>39</v>
      </c>
      <c r="B55" s="35" t="s">
        <v>589</v>
      </c>
      <c r="C55" s="10" t="s">
        <v>602</v>
      </c>
      <c r="D55" s="10" t="s">
        <v>603</v>
      </c>
      <c r="E55" s="35" t="s">
        <v>295</v>
      </c>
      <c r="F55" s="22" t="s">
        <v>345</v>
      </c>
      <c r="G55" s="36"/>
      <c r="H55" s="36"/>
      <c r="I55" s="36"/>
      <c r="J55" s="6"/>
      <c r="K55" s="38" t="s">
        <v>604</v>
      </c>
      <c r="L55" s="34" t="s">
        <v>108</v>
      </c>
    </row>
    <row r="56" customFormat="false" ht="15" hidden="false" customHeight="true" outlineLevel="0" collapsed="false">
      <c r="A56" s="35" t="n">
        <v>40</v>
      </c>
      <c r="B56" s="35" t="s">
        <v>589</v>
      </c>
      <c r="C56" s="10" t="s">
        <v>605</v>
      </c>
      <c r="D56" s="10" t="s">
        <v>606</v>
      </c>
      <c r="E56" s="35" t="s">
        <v>295</v>
      </c>
      <c r="F56" s="35" t="s">
        <v>84</v>
      </c>
      <c r="G56" s="36"/>
      <c r="H56" s="36"/>
      <c r="I56" s="36"/>
      <c r="J56" s="6"/>
      <c r="K56" s="33" t="s">
        <v>69</v>
      </c>
      <c r="L56" s="34" t="s">
        <v>70</v>
      </c>
    </row>
    <row r="57" customFormat="false" ht="16.5" hidden="false" customHeight="true" outlineLevel="0" collapsed="false">
      <c r="A57" s="25" t="s">
        <v>607</v>
      </c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26"/>
    </row>
    <row r="58" customFormat="false" ht="15" hidden="false" customHeight="true" outlineLevel="0" collapsed="false">
      <c r="A58" s="35" t="n">
        <v>41</v>
      </c>
      <c r="B58" s="35" t="s">
        <v>608</v>
      </c>
      <c r="C58" s="10" t="s">
        <v>609</v>
      </c>
      <c r="D58" s="37" t="s">
        <v>610</v>
      </c>
      <c r="E58" s="35" t="s">
        <v>295</v>
      </c>
      <c r="F58" s="35" t="s">
        <v>333</v>
      </c>
      <c r="G58" s="36"/>
      <c r="H58" s="36"/>
      <c r="I58" s="36"/>
      <c r="J58" s="6"/>
      <c r="K58" s="38" t="s">
        <v>611</v>
      </c>
      <c r="L58" s="34" t="s">
        <v>108</v>
      </c>
    </row>
    <row r="59" customFormat="false" ht="15" hidden="false" customHeight="true" outlineLevel="0" collapsed="false">
      <c r="A59" s="35" t="n">
        <v>42</v>
      </c>
      <c r="B59" s="35" t="s">
        <v>608</v>
      </c>
      <c r="C59" s="10" t="s">
        <v>612</v>
      </c>
      <c r="D59" s="10" t="s">
        <v>613</v>
      </c>
      <c r="E59" s="35" t="s">
        <v>295</v>
      </c>
      <c r="F59" s="22" t="s">
        <v>345</v>
      </c>
      <c r="G59" s="36"/>
      <c r="H59" s="36"/>
      <c r="I59" s="36"/>
      <c r="J59" s="6"/>
      <c r="K59" s="38" t="s">
        <v>614</v>
      </c>
      <c r="L59" s="34" t="s">
        <v>345</v>
      </c>
    </row>
    <row r="60" customFormat="false" ht="15" hidden="false" customHeight="true" outlineLevel="0" collapsed="false">
      <c r="A60" s="35" t="n">
        <v>43</v>
      </c>
      <c r="B60" s="35" t="s">
        <v>608</v>
      </c>
      <c r="C60" s="37" t="s">
        <v>615</v>
      </c>
      <c r="D60" s="10" t="s">
        <v>616</v>
      </c>
      <c r="E60" s="35" t="s">
        <v>332</v>
      </c>
      <c r="F60" s="35" t="s">
        <v>333</v>
      </c>
      <c r="G60" s="36"/>
      <c r="H60" s="36"/>
      <c r="I60" s="36"/>
      <c r="J60" s="6"/>
      <c r="K60" s="38" t="s">
        <v>617</v>
      </c>
      <c r="L60" s="34" t="s">
        <v>345</v>
      </c>
    </row>
    <row r="61" customFormat="false" ht="15" hidden="false" customHeight="true" outlineLevel="0" collapsed="false">
      <c r="A61" s="35" t="n">
        <v>44</v>
      </c>
      <c r="B61" s="35" t="s">
        <v>608</v>
      </c>
      <c r="C61" s="10" t="s">
        <v>618</v>
      </c>
      <c r="D61" s="10" t="s">
        <v>619</v>
      </c>
      <c r="E61" s="35" t="s">
        <v>332</v>
      </c>
      <c r="F61" s="22" t="s">
        <v>345</v>
      </c>
      <c r="G61" s="36"/>
      <c r="H61" s="36"/>
      <c r="I61" s="36"/>
      <c r="J61" s="6"/>
      <c r="K61" s="38" t="s">
        <v>617</v>
      </c>
      <c r="L61" s="34" t="s">
        <v>345</v>
      </c>
    </row>
    <row r="62" customFormat="false" ht="15" hidden="false" customHeight="true" outlineLevel="0" collapsed="false">
      <c r="A62" s="35" t="n">
        <v>45</v>
      </c>
      <c r="B62" s="35" t="s">
        <v>413</v>
      </c>
      <c r="C62" s="10" t="s">
        <v>620</v>
      </c>
      <c r="D62" s="10" t="s">
        <v>621</v>
      </c>
      <c r="E62" s="41" t="s">
        <v>303</v>
      </c>
      <c r="F62" s="22" t="s">
        <v>387</v>
      </c>
      <c r="G62" s="36"/>
      <c r="H62" s="36"/>
      <c r="I62" s="36"/>
      <c r="J62" s="6"/>
      <c r="K62" s="38" t="s">
        <v>622</v>
      </c>
      <c r="L62" s="34" t="s">
        <v>108</v>
      </c>
    </row>
    <row r="63" customFormat="false" ht="15" hidden="false" customHeight="true" outlineLevel="0" collapsed="false">
      <c r="A63" s="35" t="n">
        <v>46</v>
      </c>
      <c r="B63" s="35" t="s">
        <v>413</v>
      </c>
      <c r="C63" s="10" t="s">
        <v>623</v>
      </c>
      <c r="D63" s="10" t="s">
        <v>624</v>
      </c>
      <c r="E63" s="35" t="s">
        <v>295</v>
      </c>
      <c r="F63" s="35" t="s">
        <v>84</v>
      </c>
      <c r="G63" s="36"/>
      <c r="H63" s="36"/>
      <c r="I63" s="36"/>
      <c r="J63" s="6"/>
      <c r="K63" s="38" t="s">
        <v>625</v>
      </c>
      <c r="L63" s="34" t="s">
        <v>108</v>
      </c>
    </row>
    <row r="64" customFormat="false" ht="15" hidden="false" customHeight="true" outlineLevel="0" collapsed="false">
      <c r="A64" s="35" t="n">
        <v>47</v>
      </c>
      <c r="B64" s="35" t="s">
        <v>413</v>
      </c>
      <c r="C64" s="10" t="s">
        <v>626</v>
      </c>
      <c r="D64" s="10" t="s">
        <v>627</v>
      </c>
      <c r="E64" s="35" t="s">
        <v>295</v>
      </c>
      <c r="F64" s="22" t="s">
        <v>345</v>
      </c>
      <c r="G64" s="36"/>
      <c r="H64" s="36"/>
      <c r="I64" s="36"/>
      <c r="J64" s="6"/>
      <c r="K64" s="38" t="s">
        <v>628</v>
      </c>
      <c r="L64" s="34" t="s">
        <v>345</v>
      </c>
    </row>
    <row r="65" customFormat="false" ht="15" hidden="false" customHeight="true" outlineLevel="0" collapsed="false">
      <c r="A65" s="35" t="n">
        <v>48</v>
      </c>
      <c r="B65" s="35" t="s">
        <v>608</v>
      </c>
      <c r="C65" s="10" t="s">
        <v>629</v>
      </c>
      <c r="D65" s="10" t="s">
        <v>630</v>
      </c>
      <c r="E65" s="35" t="s">
        <v>332</v>
      </c>
      <c r="F65" s="35" t="s">
        <v>333</v>
      </c>
      <c r="G65" s="36"/>
      <c r="H65" s="36"/>
      <c r="I65" s="36"/>
      <c r="J65" s="6"/>
      <c r="K65" s="33" t="s">
        <v>69</v>
      </c>
      <c r="L65" s="34" t="s">
        <v>70</v>
      </c>
    </row>
    <row r="66" customFormat="false" ht="16.5" hidden="false" customHeight="true" outlineLevel="0" collapsed="false">
      <c r="A66" s="25" t="s">
        <v>631</v>
      </c>
      <c r="B66" s="25"/>
      <c r="C66" s="25"/>
      <c r="D66" s="25"/>
      <c r="E66" s="25"/>
      <c r="F66" s="25"/>
      <c r="G66" s="25"/>
      <c r="H66" s="25"/>
      <c r="I66" s="25"/>
      <c r="J66" s="25"/>
      <c r="K66" s="26"/>
      <c r="L66" s="26"/>
    </row>
    <row r="67" customFormat="false" ht="15" hidden="false" customHeight="true" outlineLevel="0" collapsed="false">
      <c r="A67" s="35" t="n">
        <v>49</v>
      </c>
      <c r="B67" s="35" t="s">
        <v>632</v>
      </c>
      <c r="C67" s="10" t="s">
        <v>633</v>
      </c>
      <c r="D67" s="10" t="s">
        <v>634</v>
      </c>
      <c r="E67" s="35" t="s">
        <v>295</v>
      </c>
      <c r="F67" s="22" t="s">
        <v>345</v>
      </c>
      <c r="G67" s="36"/>
      <c r="H67" s="36"/>
      <c r="I67" s="36"/>
      <c r="J67" s="6"/>
      <c r="K67" s="38" t="s">
        <v>635</v>
      </c>
      <c r="L67" s="34" t="s">
        <v>104</v>
      </c>
    </row>
    <row r="68" customFormat="false" ht="15" hidden="false" customHeight="true" outlineLevel="0" collapsed="false">
      <c r="A68" s="35" t="n">
        <v>50</v>
      </c>
      <c r="B68" s="35" t="s">
        <v>632</v>
      </c>
      <c r="C68" s="10" t="s">
        <v>636</v>
      </c>
      <c r="D68" s="10" t="s">
        <v>637</v>
      </c>
      <c r="E68" s="41" t="s">
        <v>303</v>
      </c>
      <c r="F68" s="22" t="s">
        <v>345</v>
      </c>
      <c r="G68" s="36"/>
      <c r="H68" s="36"/>
      <c r="I68" s="36"/>
      <c r="J68" s="6"/>
      <c r="K68" s="33" t="s">
        <v>69</v>
      </c>
      <c r="L68" s="34" t="s">
        <v>70</v>
      </c>
    </row>
    <row r="69" customFormat="false" ht="15" hidden="false" customHeight="true" outlineLevel="0" collapsed="false">
      <c r="A69" s="35" t="n">
        <v>51</v>
      </c>
      <c r="B69" s="35" t="s">
        <v>632</v>
      </c>
      <c r="C69" s="10" t="s">
        <v>638</v>
      </c>
      <c r="D69" s="10" t="s">
        <v>639</v>
      </c>
      <c r="E69" s="35" t="s">
        <v>295</v>
      </c>
      <c r="F69" s="22" t="s">
        <v>345</v>
      </c>
      <c r="G69" s="36"/>
      <c r="H69" s="36"/>
      <c r="I69" s="36"/>
      <c r="J69" s="6"/>
      <c r="K69" s="33" t="s">
        <v>69</v>
      </c>
      <c r="L69" s="34" t="s">
        <v>70</v>
      </c>
    </row>
    <row r="70" customFormat="false" ht="15" hidden="false" customHeight="true" outlineLevel="0" collapsed="false">
      <c r="A70" s="35" t="n">
        <v>52</v>
      </c>
      <c r="B70" s="35" t="s">
        <v>640</v>
      </c>
      <c r="C70" s="10" t="s">
        <v>641</v>
      </c>
      <c r="D70" s="10" t="s">
        <v>642</v>
      </c>
      <c r="E70" s="35" t="s">
        <v>295</v>
      </c>
      <c r="F70" s="22" t="s">
        <v>345</v>
      </c>
      <c r="G70" s="36"/>
      <c r="H70" s="36"/>
      <c r="I70" s="36"/>
      <c r="J70" s="6"/>
      <c r="K70" s="33" t="s">
        <v>69</v>
      </c>
      <c r="L70" s="34" t="s">
        <v>70</v>
      </c>
    </row>
    <row r="71" customFormat="false" ht="15" hidden="false" customHeight="true" outlineLevel="0" collapsed="false">
      <c r="A71" s="35" t="n">
        <v>53</v>
      </c>
      <c r="B71" s="35" t="s">
        <v>643</v>
      </c>
      <c r="C71" s="10" t="s">
        <v>644</v>
      </c>
      <c r="D71" s="10" t="s">
        <v>645</v>
      </c>
      <c r="E71" s="35" t="s">
        <v>332</v>
      </c>
      <c r="F71" s="22" t="s">
        <v>345</v>
      </c>
      <c r="G71" s="36"/>
      <c r="H71" s="36"/>
      <c r="I71" s="36"/>
      <c r="J71" s="6"/>
      <c r="K71" s="33" t="s">
        <v>69</v>
      </c>
      <c r="L71" s="34" t="s">
        <v>70</v>
      </c>
    </row>
    <row r="72" customFormat="false" ht="16.5" hidden="false" customHeight="true" outlineLevel="0" collapsed="false">
      <c r="A72" s="25" t="s">
        <v>646</v>
      </c>
      <c r="B72" s="25"/>
      <c r="C72" s="25"/>
      <c r="D72" s="25"/>
      <c r="E72" s="25"/>
      <c r="F72" s="25"/>
      <c r="G72" s="25"/>
      <c r="H72" s="25"/>
      <c r="I72" s="25"/>
      <c r="J72" s="25"/>
      <c r="K72" s="26"/>
      <c r="L72" s="26"/>
    </row>
    <row r="73" customFormat="false" ht="15" hidden="false" customHeight="true" outlineLevel="0" collapsed="false">
      <c r="A73" s="35" t="n">
        <v>54</v>
      </c>
      <c r="B73" s="35" t="s">
        <v>647</v>
      </c>
      <c r="C73" s="10" t="s">
        <v>648</v>
      </c>
      <c r="D73" s="10" t="s">
        <v>649</v>
      </c>
      <c r="E73" s="41" t="s">
        <v>303</v>
      </c>
      <c r="F73" s="35" t="s">
        <v>234</v>
      </c>
      <c r="G73" s="36"/>
      <c r="H73" s="36"/>
      <c r="I73" s="36"/>
      <c r="J73" s="6"/>
      <c r="K73" s="33" t="s">
        <v>69</v>
      </c>
      <c r="L73" s="34" t="s">
        <v>70</v>
      </c>
    </row>
    <row r="74" customFormat="false" ht="15" hidden="false" customHeight="true" outlineLevel="0" collapsed="false">
      <c r="A74" s="35" t="n">
        <v>55</v>
      </c>
      <c r="B74" s="35" t="s">
        <v>647</v>
      </c>
      <c r="C74" s="10" t="s">
        <v>650</v>
      </c>
      <c r="D74" s="10" t="s">
        <v>651</v>
      </c>
      <c r="E74" s="35" t="s">
        <v>295</v>
      </c>
      <c r="F74" s="35" t="s">
        <v>333</v>
      </c>
      <c r="G74" s="36"/>
      <c r="H74" s="36"/>
      <c r="I74" s="36"/>
      <c r="J74" s="6"/>
      <c r="K74" s="33" t="s">
        <v>69</v>
      </c>
      <c r="L74" s="34" t="s">
        <v>70</v>
      </c>
    </row>
    <row r="75" customFormat="false" ht="15" hidden="false" customHeight="true" outlineLevel="0" collapsed="false">
      <c r="A75" s="35" t="n">
        <v>56</v>
      </c>
      <c r="B75" s="35" t="s">
        <v>647</v>
      </c>
      <c r="C75" s="10" t="s">
        <v>652</v>
      </c>
      <c r="D75" s="10" t="s">
        <v>653</v>
      </c>
      <c r="E75" s="41" t="s">
        <v>303</v>
      </c>
      <c r="F75" s="35" t="s">
        <v>297</v>
      </c>
      <c r="G75" s="36"/>
      <c r="H75" s="36"/>
      <c r="I75" s="36"/>
      <c r="J75" s="6"/>
      <c r="K75" s="33" t="s">
        <v>69</v>
      </c>
      <c r="L75" s="34" t="s">
        <v>70</v>
      </c>
    </row>
    <row r="76" customFormat="false" ht="15" hidden="false" customHeight="true" outlineLevel="0" collapsed="false">
      <c r="A76" s="35" t="n">
        <v>57</v>
      </c>
      <c r="B76" s="35" t="s">
        <v>206</v>
      </c>
      <c r="C76" s="10" t="s">
        <v>654</v>
      </c>
      <c r="D76" s="10" t="s">
        <v>655</v>
      </c>
      <c r="E76" s="35" t="s">
        <v>295</v>
      </c>
      <c r="F76" s="35" t="s">
        <v>333</v>
      </c>
      <c r="G76" s="36"/>
      <c r="H76" s="36"/>
      <c r="I76" s="36"/>
      <c r="J76" s="6"/>
      <c r="K76" s="33" t="s">
        <v>69</v>
      </c>
      <c r="L76" s="34" t="s">
        <v>70</v>
      </c>
    </row>
    <row r="77" customFormat="false" ht="15" hidden="false" customHeight="true" outlineLevel="0" collapsed="false">
      <c r="A77" s="35" t="n">
        <v>58</v>
      </c>
      <c r="B77" s="35" t="s">
        <v>206</v>
      </c>
      <c r="C77" s="10" t="s">
        <v>656</v>
      </c>
      <c r="D77" s="10" t="s">
        <v>657</v>
      </c>
      <c r="E77" s="41" t="s">
        <v>303</v>
      </c>
      <c r="F77" s="22" t="s">
        <v>387</v>
      </c>
      <c r="G77" s="36"/>
      <c r="H77" s="36"/>
      <c r="I77" s="36"/>
      <c r="J77" s="6"/>
      <c r="K77" s="38" t="s">
        <v>439</v>
      </c>
      <c r="L77" s="34" t="s">
        <v>108</v>
      </c>
    </row>
    <row r="78" customFormat="false" ht="15" hidden="false" customHeight="true" outlineLevel="0" collapsed="false">
      <c r="A78" s="35" t="n">
        <v>59</v>
      </c>
      <c r="B78" s="35" t="s">
        <v>206</v>
      </c>
      <c r="C78" s="10" t="s">
        <v>658</v>
      </c>
      <c r="D78" s="10" t="s">
        <v>659</v>
      </c>
      <c r="E78" s="35" t="s">
        <v>295</v>
      </c>
      <c r="F78" s="22" t="s">
        <v>345</v>
      </c>
      <c r="G78" s="36"/>
      <c r="H78" s="36"/>
      <c r="I78" s="36"/>
      <c r="J78" s="6"/>
      <c r="K78" s="33" t="s">
        <v>69</v>
      </c>
      <c r="L78" s="34" t="s">
        <v>70</v>
      </c>
    </row>
    <row r="81" customFormat="false" ht="18.75" hidden="false" customHeight="true" outlineLevel="0" collapsed="false">
      <c r="A81" s="42" t="s">
        <v>660</v>
      </c>
      <c r="K81" s="26"/>
      <c r="L81" s="26"/>
    </row>
    <row r="82" customFormat="false" ht="15" hidden="false" customHeight="true" outlineLevel="0" collapsed="false">
      <c r="A82" s="16" t="s">
        <v>661</v>
      </c>
      <c r="K82" s="26"/>
      <c r="L82" s="26"/>
    </row>
    <row r="83" customFormat="false" ht="15" hidden="false" customHeight="true" outlineLevel="0" collapsed="false">
      <c r="B83" s="24" t="s">
        <v>662</v>
      </c>
      <c r="C83" s="24"/>
      <c r="D83" s="24"/>
      <c r="E83" s="24" t="s">
        <v>663</v>
      </c>
      <c r="F83" s="24" t="s">
        <v>664</v>
      </c>
      <c r="G83" s="24" t="s">
        <v>456</v>
      </c>
      <c r="H83" s="24"/>
      <c r="I83" s="24"/>
      <c r="J83" s="24"/>
    </row>
    <row r="84" customFormat="false" ht="15" hidden="false" customHeight="true" outlineLevel="0" collapsed="false">
      <c r="B84" s="10" t="s">
        <v>665</v>
      </c>
      <c r="C84" s="10"/>
      <c r="D84" s="10"/>
      <c r="E84" s="57" t="n">
        <v>20</v>
      </c>
      <c r="F84" s="22" t="s">
        <v>666</v>
      </c>
    </row>
    <row r="85" customFormat="false" ht="15" hidden="false" customHeight="true" outlineLevel="0" collapsed="false">
      <c r="B85" s="10" t="s">
        <v>667</v>
      </c>
      <c r="C85" s="10"/>
      <c r="D85" s="10"/>
      <c r="E85" s="57" t="n">
        <v>16</v>
      </c>
      <c r="F85" s="22" t="s">
        <v>666</v>
      </c>
    </row>
    <row r="86" customFormat="false" ht="15" hidden="false" customHeight="true" outlineLevel="0" collapsed="false">
      <c r="B86" s="10" t="s">
        <v>668</v>
      </c>
      <c r="C86" s="10"/>
      <c r="D86" s="10"/>
      <c r="E86" s="57" t="n">
        <v>10</v>
      </c>
      <c r="F86" s="22" t="s">
        <v>669</v>
      </c>
      <c r="G86" s="58" t="s">
        <v>670</v>
      </c>
      <c r="H86" s="58"/>
      <c r="I86" s="58"/>
      <c r="J86" s="58"/>
    </row>
    <row r="87" customFormat="false" ht="15" hidden="false" customHeight="true" outlineLevel="0" collapsed="false">
      <c r="B87" s="10" t="s">
        <v>671</v>
      </c>
      <c r="C87" s="10"/>
      <c r="D87" s="10"/>
      <c r="E87" s="57" t="n">
        <v>8</v>
      </c>
      <c r="F87" s="22" t="s">
        <v>669</v>
      </c>
    </row>
    <row r="88" customFormat="false" ht="15" hidden="false" customHeight="true" outlineLevel="0" collapsed="false">
      <c r="B88" s="10" t="s">
        <v>672</v>
      </c>
      <c r="C88" s="10"/>
      <c r="D88" s="10"/>
      <c r="E88" s="57" t="n">
        <v>6</v>
      </c>
      <c r="F88" s="22" t="s">
        <v>669</v>
      </c>
    </row>
    <row r="89" customFormat="false" ht="15" hidden="false" customHeight="true" outlineLevel="0" collapsed="false">
      <c r="B89" s="10" t="s">
        <v>673</v>
      </c>
      <c r="C89" s="10"/>
      <c r="D89" s="10"/>
      <c r="E89" s="48" t="n">
        <v>1.02</v>
      </c>
      <c r="F89" s="35" t="s">
        <v>674</v>
      </c>
      <c r="G89" s="58" t="s">
        <v>675</v>
      </c>
      <c r="H89" s="58"/>
      <c r="I89" s="58"/>
      <c r="J89" s="58"/>
    </row>
    <row r="90" customFormat="false" ht="15" hidden="false" customHeight="true" outlineLevel="0" collapsed="false">
      <c r="B90" s="10" t="s">
        <v>676</v>
      </c>
      <c r="C90" s="10"/>
      <c r="D90" s="10"/>
      <c r="E90" s="59" t="n">
        <v>0.15</v>
      </c>
      <c r="F90" s="35"/>
      <c r="G90" s="58" t="s">
        <v>677</v>
      </c>
      <c r="H90" s="58"/>
      <c r="I90" s="58"/>
      <c r="J90" s="58"/>
    </row>
    <row r="91" customFormat="false" ht="15" hidden="false" customHeight="true" outlineLevel="0" collapsed="false">
      <c r="B91" s="37" t="s">
        <v>678</v>
      </c>
      <c r="C91" s="37"/>
      <c r="D91" s="37"/>
      <c r="E91" s="59" t="n">
        <v>0.05</v>
      </c>
      <c r="F91" s="35"/>
    </row>
    <row r="92" customFormat="false" ht="15" hidden="false" customHeight="true" outlineLevel="0" collapsed="false">
      <c r="B92" s="10" t="s">
        <v>679</v>
      </c>
      <c r="C92" s="10"/>
      <c r="D92" s="10"/>
      <c r="E92" s="48" t="n">
        <v>7.85</v>
      </c>
      <c r="F92" s="22" t="s">
        <v>680</v>
      </c>
    </row>
    <row r="94" customFormat="false" ht="15" hidden="false" customHeight="true" outlineLevel="0" collapsed="false">
      <c r="B94" s="10" t="s">
        <v>681</v>
      </c>
      <c r="C94" s="10"/>
      <c r="D94" s="10"/>
      <c r="E94" s="60" t="n">
        <f aca="false">PI()/4*E84^2*E85</f>
        <v>5026.54824574367</v>
      </c>
      <c r="F94" s="22" t="s">
        <v>682</v>
      </c>
    </row>
    <row r="95" customFormat="false" ht="15" hidden="false" customHeight="true" outlineLevel="0" collapsed="false">
      <c r="B95" s="10" t="s">
        <v>683</v>
      </c>
      <c r="C95" s="10"/>
      <c r="D95" s="10"/>
      <c r="E95" s="61" t="n">
        <f aca="false">PI()*E84*E85*E86/1000*E92</f>
        <v>78.9168074581756</v>
      </c>
      <c r="F95" s="22" t="s">
        <v>684</v>
      </c>
    </row>
    <row r="96" customFormat="false" ht="15" hidden="false" customHeight="true" outlineLevel="0" collapsed="false">
      <c r="B96" s="10" t="s">
        <v>685</v>
      </c>
      <c r="C96" s="10"/>
      <c r="D96" s="10"/>
      <c r="E96" s="61" t="n">
        <f aca="false">PI()/4*E84^2*E87/1000*E92</f>
        <v>19.7292018645439</v>
      </c>
      <c r="F96" s="22" t="s">
        <v>684</v>
      </c>
    </row>
    <row r="97" customFormat="false" ht="15" hidden="false" customHeight="true" outlineLevel="0" collapsed="false">
      <c r="B97" s="10" t="s">
        <v>686</v>
      </c>
      <c r="C97" s="10"/>
      <c r="D97" s="10"/>
      <c r="E97" s="61" t="n">
        <f aca="false">PI()/4*E84^2*E89*E88/1000*E92</f>
        <v>15.0928394263761</v>
      </c>
      <c r="F97" s="22" t="s">
        <v>684</v>
      </c>
    </row>
    <row r="98" customFormat="false" ht="15" hidden="false" customHeight="true" outlineLevel="0" collapsed="false">
      <c r="B98" s="10" t="s">
        <v>687</v>
      </c>
      <c r="C98" s="10"/>
      <c r="D98" s="10"/>
      <c r="E98" s="61" t="n">
        <f aca="false">E95+E96+E97</f>
        <v>113.738848749096</v>
      </c>
      <c r="F98" s="22" t="s">
        <v>684</v>
      </c>
    </row>
    <row r="99" customFormat="false" ht="15" hidden="false" customHeight="true" outlineLevel="0" collapsed="false">
      <c r="B99" s="10" t="s">
        <v>688</v>
      </c>
      <c r="C99" s="10"/>
      <c r="D99" s="10"/>
      <c r="E99" s="61" t="n">
        <f aca="false">E98*E90</f>
        <v>17.0608273123643</v>
      </c>
      <c r="F99" s="22" t="s">
        <v>684</v>
      </c>
    </row>
    <row r="100" customFormat="false" ht="15" hidden="false" customHeight="true" outlineLevel="0" collapsed="false">
      <c r="B100" s="7" t="s">
        <v>689</v>
      </c>
      <c r="C100" s="7"/>
      <c r="D100" s="7"/>
      <c r="E100" s="62" t="n">
        <f aca="false">E98+E99</f>
        <v>130.79967606146</v>
      </c>
      <c r="F100" s="22" t="s">
        <v>684</v>
      </c>
      <c r="G100" s="58" t="s">
        <v>690</v>
      </c>
      <c r="H100" s="58"/>
      <c r="I100" s="58"/>
      <c r="J100" s="58"/>
    </row>
    <row r="101" customFormat="false" ht="15" hidden="false" customHeight="true" outlineLevel="0" collapsed="false">
      <c r="B101" s="7" t="s">
        <v>691</v>
      </c>
      <c r="C101" s="7"/>
      <c r="D101" s="7"/>
      <c r="E101" s="62" t="n">
        <f aca="false">E100*(1+E91)</f>
        <v>137.339659864533</v>
      </c>
      <c r="F101" s="22" t="s">
        <v>684</v>
      </c>
      <c r="G101" s="58" t="s">
        <v>692</v>
      </c>
      <c r="H101" s="58"/>
      <c r="I101" s="58"/>
      <c r="J101" s="58"/>
    </row>
    <row r="102" customFormat="false" ht="15" hidden="false" customHeight="true" outlineLevel="0" collapsed="false">
      <c r="B102" s="7" t="s">
        <v>693</v>
      </c>
      <c r="C102" s="7"/>
      <c r="D102" s="7"/>
      <c r="E102" s="53" t="n">
        <f aca="false">E94</f>
        <v>5026.54824574367</v>
      </c>
      <c r="F102" s="22" t="s">
        <v>682</v>
      </c>
      <c r="G102" s="58" t="s">
        <v>694</v>
      </c>
      <c r="H102" s="58"/>
      <c r="I102" s="58"/>
      <c r="J102" s="58"/>
    </row>
    <row r="104" customFormat="false" ht="15" hidden="false" customHeight="true" outlineLevel="0" collapsed="false">
      <c r="B104" s="16" t="s">
        <v>695</v>
      </c>
    </row>
  </sheetData>
  <autoFilter ref="A11:L78"/>
  <mergeCells count="34">
    <mergeCell ref="A12:J12"/>
    <mergeCell ref="A26:J26"/>
    <mergeCell ref="A32:J32"/>
    <mergeCell ref="A39:J39"/>
    <mergeCell ref="A47:J47"/>
    <mergeCell ref="A57:J57"/>
    <mergeCell ref="A66:J66"/>
    <mergeCell ref="A72:J72"/>
    <mergeCell ref="B83:D83"/>
    <mergeCell ref="G83:J83"/>
    <mergeCell ref="B84:D84"/>
    <mergeCell ref="B85:D85"/>
    <mergeCell ref="B86:D86"/>
    <mergeCell ref="G86:J86"/>
    <mergeCell ref="B87:D87"/>
    <mergeCell ref="B88:D88"/>
    <mergeCell ref="B89:D89"/>
    <mergeCell ref="G89:J89"/>
    <mergeCell ref="B90:D90"/>
    <mergeCell ref="G90:J90"/>
    <mergeCell ref="B91:D91"/>
    <mergeCell ref="B92:D92"/>
    <mergeCell ref="B94:D94"/>
    <mergeCell ref="B95:D95"/>
    <mergeCell ref="B96:D96"/>
    <mergeCell ref="B97:D97"/>
    <mergeCell ref="B98:D98"/>
    <mergeCell ref="B99:D99"/>
    <mergeCell ref="B100:D100"/>
    <mergeCell ref="G100:J100"/>
    <mergeCell ref="B101:D101"/>
    <mergeCell ref="G101:J101"/>
    <mergeCell ref="B102:D102"/>
    <mergeCell ref="G102:J102"/>
  </mergeCells>
  <conditionalFormatting sqref="G12:G78">
    <cfRule type="cellIs" priority="2" operator="equal" aboveAverage="0" equalAverage="0" bottom="0" percent="0" rank="0" text="" dxfId="11">
      <formula>"완료"</formula>
    </cfRule>
    <cfRule type="cellIs" priority="3" operator="equal" aboveAverage="0" equalAverage="0" bottom="0" percent="0" rank="0" text="" dxfId="12">
      <formula>"확인중"</formula>
    </cfRule>
    <cfRule type="cellIs" priority="4" operator="equal" aboveAverage="0" equalAverage="0" bottom="0" percent="0" rank="0" text="" dxfId="13">
      <formula>"질의필요"</formula>
    </cfRule>
  </conditionalFormatting>
  <conditionalFormatting sqref="L12:L78">
    <cfRule type="cellIs" priority="5" operator="equal" aboveAverage="0" equalAverage="0" bottom="0" percent="0" rank="0" text="" dxfId="11">
      <formula>"A"</formula>
    </cfRule>
    <cfRule type="cellIs" priority="6" operator="equal" aboveAverage="0" equalAverage="0" bottom="0" percent="0" rank="0" text="" dxfId="14">
      <formula>"B"</formula>
    </cfRule>
    <cfRule type="cellIs" priority="7" operator="equal" aboveAverage="0" equalAverage="0" bottom="0" percent="0" rank="0" text="" dxfId="13">
      <formula>"C"</formula>
    </cfRule>
    <cfRule type="cellIs" priority="8" operator="equal" aboveAverage="0" equalAverage="0" bottom="0" percent="0" rank="0" text="" dxfId="15">
      <formula>"D"</formula>
    </cfRule>
  </conditionalFormatting>
  <dataValidations count="2">
    <dataValidation allowBlank="true" errorStyle="stop" operator="between" showDropDown="false" showErrorMessage="false" showInputMessage="false" sqref="G12:G78" type="list">
      <formula1>"완료,확인중,질의필요,해당없음"</formula1>
      <formula2>0</formula2>
    </dataValidation>
    <dataValidation allowBlank="true" errorStyle="stop" operator="between" showDropDown="false" showErrorMessage="false" showInputMessage="false" sqref="H12:H78" type="list">
      <formula1>"반영,조건명시,미반영,해당없음"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1" topLeftCell="D22" activePane="bottomRight" state="frozen"/>
      <selection pane="topLeft" activeCell="A1" activeCellId="0" sqref="A1"/>
      <selection pane="topRight" activeCell="D1" activeCellId="0" sqref="D1"/>
      <selection pane="bottomLeft" activeCell="A22" activeCellId="0" sqref="A2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50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24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50"/>
    <col collapsed="false" customWidth="true" hidden="false" outlineLevel="0" max="12" min="12" style="1" width="9"/>
  </cols>
  <sheetData>
    <row r="1" customFormat="false" ht="19.5" hidden="false" customHeight="true" outlineLevel="0" collapsed="false">
      <c r="A1" s="39" t="s">
        <v>696</v>
      </c>
    </row>
    <row r="2" customFormat="false" ht="15" hidden="false" customHeight="true" outlineLevel="0" collapsed="false">
      <c r="A2" s="54" t="s">
        <v>697</v>
      </c>
    </row>
    <row r="3" customFormat="false" ht="15" hidden="false" customHeight="true" outlineLevel="0" collapsed="false">
      <c r="A3" s="19" t="s">
        <v>40</v>
      </c>
    </row>
    <row r="5" customFormat="false" ht="15" hidden="false" customHeight="true" outlineLevel="0" collapsed="false">
      <c r="A5" s="63" t="s">
        <v>698</v>
      </c>
      <c r="J5" s="15" t="s">
        <v>37</v>
      </c>
    </row>
    <row r="6" customFormat="false" ht="30" hidden="false" customHeight="true" outlineLevel="0" collapsed="false">
      <c r="A6" s="23" t="s">
        <v>48</v>
      </c>
      <c r="B6" s="24" t="s">
        <v>699</v>
      </c>
      <c r="C6" s="24" t="s">
        <v>490</v>
      </c>
      <c r="D6" s="24" t="s">
        <v>700</v>
      </c>
      <c r="E6" s="24" t="s">
        <v>701</v>
      </c>
      <c r="F6" s="24" t="s">
        <v>702</v>
      </c>
      <c r="G6" s="24" t="s">
        <v>703</v>
      </c>
      <c r="H6" s="24" t="s">
        <v>704</v>
      </c>
      <c r="J6" s="17" t="s">
        <v>39</v>
      </c>
      <c r="K6" s="22" t="n">
        <f aca="false">COUNTA(C22:C91)</f>
        <v>58</v>
      </c>
    </row>
    <row r="7" customFormat="false" ht="29.25" hidden="false" customHeight="true" outlineLevel="0" collapsed="false">
      <c r="A7" s="22" t="n">
        <v>1</v>
      </c>
      <c r="B7" s="64" t="s">
        <v>705</v>
      </c>
      <c r="C7" s="37" t="s">
        <v>706</v>
      </c>
      <c r="D7" s="10" t="s">
        <v>707</v>
      </c>
      <c r="E7" s="10" t="s">
        <v>708</v>
      </c>
      <c r="F7" s="10" t="s">
        <v>709</v>
      </c>
      <c r="G7" s="10" t="s">
        <v>710</v>
      </c>
      <c r="H7" s="38" t="s">
        <v>711</v>
      </c>
      <c r="J7" s="17" t="s">
        <v>41</v>
      </c>
      <c r="K7" s="22" t="n">
        <f aca="false">COUNTIF(G22:G91,"완료")</f>
        <v>0</v>
      </c>
    </row>
    <row r="8" customFormat="false" ht="27" hidden="false" customHeight="true" outlineLevel="0" collapsed="false">
      <c r="A8" s="22" t="n">
        <v>2</v>
      </c>
      <c r="B8" s="64" t="s">
        <v>712</v>
      </c>
      <c r="C8" s="37" t="s">
        <v>706</v>
      </c>
      <c r="D8" s="10" t="s">
        <v>713</v>
      </c>
      <c r="E8" s="10" t="s">
        <v>714</v>
      </c>
      <c r="F8" s="10" t="s">
        <v>715</v>
      </c>
      <c r="G8" s="10" t="s">
        <v>716</v>
      </c>
      <c r="H8" s="38" t="s">
        <v>717</v>
      </c>
      <c r="J8" s="17" t="s">
        <v>43</v>
      </c>
      <c r="K8" s="22" t="n">
        <f aca="false">COUNTIF(G22:G91,"질의필요")</f>
        <v>0</v>
      </c>
    </row>
    <row r="9" customFormat="false" ht="15" hidden="false" customHeight="true" outlineLevel="0" collapsed="false">
      <c r="A9" s="22" t="n">
        <v>3</v>
      </c>
      <c r="B9" s="64" t="s">
        <v>718</v>
      </c>
      <c r="C9" s="37" t="s">
        <v>719</v>
      </c>
      <c r="D9" s="10" t="s">
        <v>720</v>
      </c>
      <c r="E9" s="10" t="s">
        <v>721</v>
      </c>
      <c r="F9" s="10" t="s">
        <v>722</v>
      </c>
      <c r="G9" s="10" t="s">
        <v>723</v>
      </c>
      <c r="H9" s="38" t="s">
        <v>724</v>
      </c>
      <c r="J9" s="17" t="s">
        <v>47</v>
      </c>
      <c r="K9" s="22" t="n">
        <f aca="false">COUNTIF(G22:G91,"해당없음")</f>
        <v>0</v>
      </c>
    </row>
    <row r="10" customFormat="false" ht="39" hidden="false" customHeight="true" outlineLevel="0" collapsed="false">
      <c r="A10" s="22" t="n">
        <v>4</v>
      </c>
      <c r="B10" s="64" t="s">
        <v>725</v>
      </c>
      <c r="C10" s="37" t="s">
        <v>726</v>
      </c>
      <c r="D10" s="10" t="s">
        <v>727</v>
      </c>
      <c r="E10" s="10" t="s">
        <v>728</v>
      </c>
      <c r="F10" s="37" t="s">
        <v>729</v>
      </c>
      <c r="G10" s="10" t="s">
        <v>730</v>
      </c>
      <c r="H10" s="38" t="s">
        <v>731</v>
      </c>
    </row>
    <row r="11" customFormat="false" ht="29.25" hidden="false" customHeight="true" outlineLevel="0" collapsed="false">
      <c r="A11" s="22" t="n">
        <v>5</v>
      </c>
      <c r="B11" s="64" t="s">
        <v>732</v>
      </c>
      <c r="C11" s="37" t="s">
        <v>733</v>
      </c>
      <c r="D11" s="10" t="s">
        <v>720</v>
      </c>
      <c r="E11" s="10" t="s">
        <v>734</v>
      </c>
      <c r="F11" s="10" t="s">
        <v>735</v>
      </c>
      <c r="G11" s="37" t="s">
        <v>736</v>
      </c>
      <c r="H11" s="38" t="s">
        <v>737</v>
      </c>
    </row>
    <row r="12" customFormat="false" ht="29.25" hidden="false" customHeight="true" outlineLevel="0" collapsed="false">
      <c r="A12" s="22" t="n">
        <v>6</v>
      </c>
      <c r="B12" s="64" t="s">
        <v>738</v>
      </c>
      <c r="C12" s="37" t="s">
        <v>739</v>
      </c>
      <c r="D12" s="37" t="s">
        <v>740</v>
      </c>
      <c r="E12" s="10" t="s">
        <v>741</v>
      </c>
      <c r="F12" s="37" t="s">
        <v>742</v>
      </c>
      <c r="G12" s="10" t="s">
        <v>743</v>
      </c>
      <c r="H12" s="38" t="s">
        <v>744</v>
      </c>
    </row>
    <row r="13" customFormat="false" ht="29.25" hidden="false" customHeight="true" outlineLevel="0" collapsed="false">
      <c r="A13" s="22" t="n">
        <v>7</v>
      </c>
      <c r="B13" s="64" t="s">
        <v>745</v>
      </c>
      <c r="C13" s="37" t="s">
        <v>746</v>
      </c>
      <c r="D13" s="10" t="s">
        <v>720</v>
      </c>
      <c r="E13" s="10" t="s">
        <v>747</v>
      </c>
      <c r="F13" s="10" t="s">
        <v>748</v>
      </c>
      <c r="G13" s="10" t="s">
        <v>749</v>
      </c>
      <c r="H13" s="38" t="s">
        <v>750</v>
      </c>
    </row>
    <row r="14" customFormat="false" ht="29.25" hidden="false" customHeight="true" outlineLevel="0" collapsed="false">
      <c r="A14" s="22" t="n">
        <v>8</v>
      </c>
      <c r="B14" s="64" t="s">
        <v>751</v>
      </c>
      <c r="C14" s="37" t="s">
        <v>752</v>
      </c>
      <c r="D14" s="10" t="s">
        <v>753</v>
      </c>
      <c r="E14" s="10" t="s">
        <v>754</v>
      </c>
      <c r="F14" s="10" t="s">
        <v>755</v>
      </c>
      <c r="G14" s="10" t="s">
        <v>756</v>
      </c>
      <c r="H14" s="38" t="s">
        <v>757</v>
      </c>
    </row>
    <row r="15" customFormat="false" ht="43.5" hidden="false" customHeight="true" outlineLevel="0" collapsed="false">
      <c r="A15" s="22" t="n">
        <v>9</v>
      </c>
      <c r="B15" s="64" t="s">
        <v>758</v>
      </c>
      <c r="C15" s="37" t="s">
        <v>759</v>
      </c>
      <c r="D15" s="10" t="s">
        <v>760</v>
      </c>
      <c r="E15" s="37" t="s">
        <v>761</v>
      </c>
      <c r="F15" s="10" t="s">
        <v>762</v>
      </c>
      <c r="G15" s="10" t="s">
        <v>763</v>
      </c>
      <c r="H15" s="38" t="s">
        <v>764</v>
      </c>
    </row>
    <row r="16" customFormat="false" ht="43.5" hidden="false" customHeight="true" outlineLevel="0" collapsed="false">
      <c r="A16" s="22" t="n">
        <v>10</v>
      </c>
      <c r="B16" s="64" t="s">
        <v>765</v>
      </c>
      <c r="C16" s="37" t="s">
        <v>766</v>
      </c>
      <c r="D16" s="10" t="s">
        <v>767</v>
      </c>
      <c r="E16" s="37" t="s">
        <v>768</v>
      </c>
      <c r="F16" s="10" t="s">
        <v>769</v>
      </c>
      <c r="G16" s="10" t="s">
        <v>770</v>
      </c>
      <c r="H16" s="38" t="s">
        <v>771</v>
      </c>
    </row>
    <row r="17" customFormat="false" ht="43.5" hidden="false" customHeight="true" outlineLevel="0" collapsed="false">
      <c r="A17" s="22" t="n">
        <v>11</v>
      </c>
      <c r="B17" s="64" t="s">
        <v>772</v>
      </c>
      <c r="C17" s="37" t="s">
        <v>766</v>
      </c>
      <c r="D17" s="10" t="s">
        <v>767</v>
      </c>
      <c r="E17" s="37" t="s">
        <v>773</v>
      </c>
      <c r="F17" s="10" t="s">
        <v>774</v>
      </c>
      <c r="G17" s="10" t="s">
        <v>775</v>
      </c>
      <c r="H17" s="38" t="s">
        <v>776</v>
      </c>
    </row>
    <row r="18" customFormat="false" ht="29.25" hidden="false" customHeight="true" outlineLevel="0" collapsed="false">
      <c r="A18" s="22" t="n">
        <v>12</v>
      </c>
      <c r="B18" s="64" t="s">
        <v>777</v>
      </c>
      <c r="C18" s="37" t="s">
        <v>778</v>
      </c>
      <c r="D18" s="10" t="s">
        <v>779</v>
      </c>
      <c r="E18" s="10" t="s">
        <v>780</v>
      </c>
      <c r="F18" s="10" t="s">
        <v>781</v>
      </c>
      <c r="G18" s="10" t="s">
        <v>782</v>
      </c>
      <c r="H18" s="38" t="s">
        <v>783</v>
      </c>
    </row>
    <row r="20" customFormat="false" ht="15" hidden="false" customHeight="true" outlineLevel="0" collapsed="false">
      <c r="A20" s="63" t="s">
        <v>784</v>
      </c>
      <c r="D20" s="16" t="s">
        <v>785</v>
      </c>
    </row>
    <row r="21" customFormat="false" ht="30" hidden="false" customHeight="true" outlineLevel="0" collapsed="false">
      <c r="A21" s="23" t="s">
        <v>48</v>
      </c>
      <c r="B21" s="24" t="s">
        <v>786</v>
      </c>
      <c r="C21" s="24" t="s">
        <v>51</v>
      </c>
      <c r="D21" s="24" t="s">
        <v>288</v>
      </c>
      <c r="E21" s="24" t="s">
        <v>289</v>
      </c>
      <c r="F21" s="24" t="s">
        <v>290</v>
      </c>
      <c r="G21" s="24" t="s">
        <v>53</v>
      </c>
      <c r="H21" s="24" t="s">
        <v>54</v>
      </c>
      <c r="I21" s="24" t="s">
        <v>55</v>
      </c>
      <c r="J21" s="24" t="s">
        <v>456</v>
      </c>
      <c r="K21" s="24" t="s">
        <v>58</v>
      </c>
      <c r="L21" s="24" t="s">
        <v>59</v>
      </c>
    </row>
    <row r="22" customFormat="false" ht="16.5" hidden="false" customHeight="true" outlineLevel="0" collapsed="false">
      <c r="A22" s="25" t="s">
        <v>787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customFormat="false" ht="29.25" hidden="false" customHeight="true" outlineLevel="0" collapsed="false">
      <c r="A23" s="22" t="n">
        <v>1</v>
      </c>
      <c r="B23" s="22" t="s">
        <v>788</v>
      </c>
      <c r="C23" s="10" t="s">
        <v>789</v>
      </c>
      <c r="D23" s="10" t="s">
        <v>790</v>
      </c>
      <c r="E23" s="35" t="s">
        <v>295</v>
      </c>
      <c r="F23" s="22" t="s">
        <v>304</v>
      </c>
      <c r="G23" s="36"/>
      <c r="H23" s="36"/>
      <c r="I23" s="36"/>
      <c r="J23" s="6"/>
      <c r="K23" s="38" t="s">
        <v>791</v>
      </c>
      <c r="L23" s="34" t="s">
        <v>345</v>
      </c>
    </row>
    <row r="24" customFormat="false" ht="29.25" hidden="false" customHeight="true" outlineLevel="0" collapsed="false">
      <c r="A24" s="35" t="n">
        <v>2</v>
      </c>
      <c r="B24" s="22" t="s">
        <v>788</v>
      </c>
      <c r="C24" s="10" t="s">
        <v>792</v>
      </c>
      <c r="D24" s="10" t="s">
        <v>793</v>
      </c>
      <c r="E24" s="41" t="s">
        <v>303</v>
      </c>
      <c r="F24" s="22" t="s">
        <v>342</v>
      </c>
      <c r="G24" s="36"/>
      <c r="H24" s="36"/>
      <c r="I24" s="36"/>
      <c r="J24" s="6"/>
      <c r="K24" s="38" t="s">
        <v>717</v>
      </c>
      <c r="L24" s="34" t="s">
        <v>104</v>
      </c>
    </row>
    <row r="25" customFormat="false" ht="29.25" hidden="false" customHeight="true" outlineLevel="0" collapsed="false">
      <c r="A25" s="35" t="n">
        <v>3</v>
      </c>
      <c r="B25" s="22" t="s">
        <v>788</v>
      </c>
      <c r="C25" s="37" t="s">
        <v>794</v>
      </c>
      <c r="D25" s="10" t="s">
        <v>795</v>
      </c>
      <c r="E25" s="35" t="s">
        <v>295</v>
      </c>
      <c r="F25" s="22" t="s">
        <v>296</v>
      </c>
      <c r="G25" s="36"/>
      <c r="H25" s="36"/>
      <c r="I25" s="36"/>
      <c r="J25" s="6"/>
      <c r="K25" s="38" t="s">
        <v>617</v>
      </c>
      <c r="L25" s="34" t="s">
        <v>345</v>
      </c>
    </row>
    <row r="26" customFormat="false" ht="29.25" hidden="false" customHeight="true" outlineLevel="0" collapsed="false">
      <c r="A26" s="35" t="n">
        <v>4</v>
      </c>
      <c r="B26" s="22" t="s">
        <v>788</v>
      </c>
      <c r="C26" s="10" t="s">
        <v>796</v>
      </c>
      <c r="D26" s="10" t="s">
        <v>797</v>
      </c>
      <c r="E26" s="35" t="s">
        <v>295</v>
      </c>
      <c r="F26" s="22" t="s">
        <v>338</v>
      </c>
      <c r="G26" s="36"/>
      <c r="H26" s="36"/>
      <c r="I26" s="36"/>
      <c r="J26" s="6"/>
      <c r="K26" s="38" t="s">
        <v>798</v>
      </c>
      <c r="L26" s="34" t="s">
        <v>104</v>
      </c>
    </row>
    <row r="27" customFormat="false" ht="16.5" hidden="false" customHeight="true" outlineLevel="0" collapsed="false">
      <c r="A27" s="25" t="s">
        <v>799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" hidden="false" customHeight="true" outlineLevel="0" collapsed="false">
      <c r="A28" s="35" t="n">
        <v>5</v>
      </c>
      <c r="B28" s="22" t="s">
        <v>800</v>
      </c>
      <c r="C28" s="10" t="s">
        <v>801</v>
      </c>
      <c r="D28" s="10" t="s">
        <v>802</v>
      </c>
      <c r="E28" s="35" t="s">
        <v>295</v>
      </c>
      <c r="F28" s="22" t="s">
        <v>304</v>
      </c>
      <c r="G28" s="36"/>
      <c r="H28" s="36"/>
      <c r="I28" s="36"/>
      <c r="J28" s="6"/>
      <c r="K28" s="33" t="s">
        <v>803</v>
      </c>
      <c r="L28" s="34" t="s">
        <v>70</v>
      </c>
    </row>
    <row r="29" customFormat="false" ht="29.25" hidden="false" customHeight="true" outlineLevel="0" collapsed="false">
      <c r="A29" s="35" t="n">
        <v>6</v>
      </c>
      <c r="B29" s="22" t="s">
        <v>800</v>
      </c>
      <c r="C29" s="10" t="s">
        <v>804</v>
      </c>
      <c r="D29" s="10" t="s">
        <v>805</v>
      </c>
      <c r="E29" s="41" t="s">
        <v>303</v>
      </c>
      <c r="F29" s="22" t="s">
        <v>342</v>
      </c>
      <c r="G29" s="36"/>
      <c r="H29" s="36"/>
      <c r="I29" s="36"/>
      <c r="J29" s="6"/>
      <c r="K29" s="38" t="s">
        <v>806</v>
      </c>
      <c r="L29" s="34" t="s">
        <v>345</v>
      </c>
    </row>
    <row r="30" customFormat="false" ht="15" hidden="false" customHeight="true" outlineLevel="0" collapsed="false">
      <c r="A30" s="35" t="n">
        <v>7</v>
      </c>
      <c r="B30" s="22" t="s">
        <v>800</v>
      </c>
      <c r="C30" s="37" t="s">
        <v>807</v>
      </c>
      <c r="D30" s="10" t="s">
        <v>808</v>
      </c>
      <c r="E30" s="35" t="s">
        <v>295</v>
      </c>
      <c r="F30" s="22" t="s">
        <v>304</v>
      </c>
      <c r="G30" s="36"/>
      <c r="H30" s="36"/>
      <c r="I30" s="36"/>
      <c r="J30" s="6"/>
      <c r="K30" s="38" t="s">
        <v>809</v>
      </c>
      <c r="L30" s="34" t="s">
        <v>345</v>
      </c>
    </row>
    <row r="31" customFormat="false" ht="16.5" hidden="false" customHeight="true" outlineLevel="0" collapsed="false">
      <c r="A31" s="25" t="s">
        <v>810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29.25" hidden="false" customHeight="true" outlineLevel="0" collapsed="false">
      <c r="A32" s="35" t="n">
        <v>8</v>
      </c>
      <c r="B32" s="22" t="s">
        <v>811</v>
      </c>
      <c r="C32" s="10" t="s">
        <v>812</v>
      </c>
      <c r="D32" s="10" t="s">
        <v>813</v>
      </c>
      <c r="E32" s="41" t="s">
        <v>303</v>
      </c>
      <c r="F32" s="22" t="s">
        <v>338</v>
      </c>
      <c r="G32" s="36"/>
      <c r="H32" s="36"/>
      <c r="I32" s="36"/>
      <c r="J32" s="6"/>
      <c r="K32" s="38" t="s">
        <v>724</v>
      </c>
      <c r="L32" s="34" t="s">
        <v>104</v>
      </c>
    </row>
    <row r="33" customFormat="false" ht="15" hidden="false" customHeight="true" outlineLevel="0" collapsed="false">
      <c r="A33" s="35" t="n">
        <v>9</v>
      </c>
      <c r="B33" s="22" t="s">
        <v>811</v>
      </c>
      <c r="C33" s="10" t="s">
        <v>814</v>
      </c>
      <c r="D33" s="10" t="s">
        <v>815</v>
      </c>
      <c r="E33" s="41" t="s">
        <v>303</v>
      </c>
      <c r="F33" s="22" t="s">
        <v>311</v>
      </c>
      <c r="G33" s="36"/>
      <c r="H33" s="36"/>
      <c r="I33" s="36"/>
      <c r="J33" s="6"/>
      <c r="K33" s="38" t="s">
        <v>724</v>
      </c>
      <c r="L33" s="34" t="s">
        <v>104</v>
      </c>
    </row>
    <row r="34" customFormat="false" ht="15" hidden="false" customHeight="true" outlineLevel="0" collapsed="false">
      <c r="A34" s="35" t="n">
        <v>10</v>
      </c>
      <c r="B34" s="22" t="s">
        <v>811</v>
      </c>
      <c r="C34" s="10" t="s">
        <v>816</v>
      </c>
      <c r="D34" s="10" t="s">
        <v>817</v>
      </c>
      <c r="E34" s="35" t="s">
        <v>295</v>
      </c>
      <c r="F34" s="22" t="s">
        <v>345</v>
      </c>
      <c r="G34" s="36"/>
      <c r="H34" s="36"/>
      <c r="I34" s="36"/>
      <c r="J34" s="6"/>
      <c r="K34" s="38" t="s">
        <v>818</v>
      </c>
      <c r="L34" s="34" t="s">
        <v>108</v>
      </c>
    </row>
    <row r="35" customFormat="false" ht="15" hidden="false" customHeight="true" outlineLevel="0" collapsed="false">
      <c r="A35" s="35" t="n">
        <v>11</v>
      </c>
      <c r="B35" s="22" t="s">
        <v>811</v>
      </c>
      <c r="C35" s="10" t="s">
        <v>819</v>
      </c>
      <c r="D35" s="10" t="s">
        <v>820</v>
      </c>
      <c r="E35" s="35" t="s">
        <v>332</v>
      </c>
      <c r="F35" s="22" t="s">
        <v>338</v>
      </c>
      <c r="G35" s="36"/>
      <c r="H35" s="36"/>
      <c r="I35" s="36"/>
      <c r="J35" s="6"/>
      <c r="K35" s="33" t="s">
        <v>803</v>
      </c>
      <c r="L35" s="34" t="s">
        <v>70</v>
      </c>
    </row>
    <row r="36" customFormat="false" ht="16.5" hidden="false" customHeight="true" outlineLevel="0" collapsed="false">
      <c r="A36" s="25" t="s">
        <v>821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customFormat="false" ht="29.25" hidden="false" customHeight="true" outlineLevel="0" collapsed="false">
      <c r="A37" s="35" t="n">
        <v>12</v>
      </c>
      <c r="B37" s="22" t="s">
        <v>822</v>
      </c>
      <c r="C37" s="10" t="s">
        <v>508</v>
      </c>
      <c r="D37" s="37" t="s">
        <v>823</v>
      </c>
      <c r="E37" s="41" t="s">
        <v>303</v>
      </c>
      <c r="F37" s="22" t="s">
        <v>304</v>
      </c>
      <c r="G37" s="36"/>
      <c r="H37" s="36"/>
      <c r="I37" s="36"/>
      <c r="J37" s="6"/>
      <c r="K37" s="38" t="s">
        <v>824</v>
      </c>
      <c r="L37" s="34" t="s">
        <v>104</v>
      </c>
    </row>
    <row r="38" customFormat="false" ht="29.25" hidden="false" customHeight="true" outlineLevel="0" collapsed="false">
      <c r="A38" s="35" t="n">
        <v>13</v>
      </c>
      <c r="B38" s="22" t="s">
        <v>822</v>
      </c>
      <c r="C38" s="10" t="s">
        <v>825</v>
      </c>
      <c r="D38" s="37" t="s">
        <v>826</v>
      </c>
      <c r="E38" s="41" t="s">
        <v>303</v>
      </c>
      <c r="F38" s="22" t="s">
        <v>338</v>
      </c>
      <c r="G38" s="36"/>
      <c r="H38" s="36"/>
      <c r="I38" s="36"/>
      <c r="J38" s="6"/>
      <c r="K38" s="38" t="s">
        <v>827</v>
      </c>
      <c r="L38" s="34" t="s">
        <v>108</v>
      </c>
    </row>
    <row r="39" customFormat="false" ht="15" hidden="false" customHeight="true" outlineLevel="0" collapsed="false">
      <c r="A39" s="35" t="n">
        <v>14</v>
      </c>
      <c r="B39" s="22" t="s">
        <v>822</v>
      </c>
      <c r="C39" s="10" t="s">
        <v>828</v>
      </c>
      <c r="D39" s="37" t="s">
        <v>829</v>
      </c>
      <c r="E39" s="41" t="s">
        <v>303</v>
      </c>
      <c r="F39" s="22" t="s">
        <v>345</v>
      </c>
      <c r="G39" s="36"/>
      <c r="H39" s="36"/>
      <c r="I39" s="36"/>
      <c r="J39" s="6"/>
      <c r="K39" s="38" t="s">
        <v>830</v>
      </c>
      <c r="L39" s="34" t="s">
        <v>108</v>
      </c>
    </row>
    <row r="40" customFormat="false" ht="15" hidden="false" customHeight="true" outlineLevel="0" collapsed="false">
      <c r="A40" s="35" t="n">
        <v>15</v>
      </c>
      <c r="B40" s="22" t="s">
        <v>822</v>
      </c>
      <c r="C40" s="37" t="s">
        <v>831</v>
      </c>
      <c r="D40" s="10" t="s">
        <v>832</v>
      </c>
      <c r="E40" s="35" t="s">
        <v>295</v>
      </c>
      <c r="F40" s="22" t="s">
        <v>304</v>
      </c>
      <c r="G40" s="36"/>
      <c r="H40" s="36"/>
      <c r="I40" s="36"/>
      <c r="J40" s="6"/>
      <c r="K40" s="38" t="s">
        <v>833</v>
      </c>
      <c r="L40" s="34" t="s">
        <v>104</v>
      </c>
    </row>
    <row r="41" customFormat="false" ht="15" hidden="false" customHeight="true" outlineLevel="0" collapsed="false">
      <c r="A41" s="35" t="n">
        <v>16</v>
      </c>
      <c r="B41" s="22" t="s">
        <v>822</v>
      </c>
      <c r="C41" s="37" t="s">
        <v>834</v>
      </c>
      <c r="D41" s="37" t="s">
        <v>835</v>
      </c>
      <c r="E41" s="35" t="s">
        <v>295</v>
      </c>
      <c r="F41" s="22" t="s">
        <v>338</v>
      </c>
      <c r="G41" s="36"/>
      <c r="H41" s="36"/>
      <c r="I41" s="36"/>
      <c r="J41" s="6"/>
      <c r="K41" s="38" t="s">
        <v>836</v>
      </c>
      <c r="L41" s="34" t="s">
        <v>345</v>
      </c>
    </row>
    <row r="42" customFormat="false" ht="24.75" hidden="false" customHeight="true" outlineLevel="0" collapsed="false">
      <c r="A42" s="35" t="n">
        <v>17</v>
      </c>
      <c r="B42" s="22" t="s">
        <v>822</v>
      </c>
      <c r="C42" s="37" t="s">
        <v>837</v>
      </c>
      <c r="D42" s="10" t="s">
        <v>838</v>
      </c>
      <c r="E42" s="35" t="s">
        <v>295</v>
      </c>
      <c r="F42" s="22" t="s">
        <v>338</v>
      </c>
      <c r="G42" s="36"/>
      <c r="H42" s="36"/>
      <c r="I42" s="36"/>
      <c r="J42" s="6"/>
      <c r="K42" s="38" t="s">
        <v>824</v>
      </c>
      <c r="L42" s="34" t="s">
        <v>104</v>
      </c>
    </row>
    <row r="43" customFormat="false" ht="15" hidden="false" customHeight="true" outlineLevel="0" collapsed="false">
      <c r="A43" s="35" t="n">
        <v>18</v>
      </c>
      <c r="B43" s="22" t="s">
        <v>822</v>
      </c>
      <c r="C43" s="10" t="s">
        <v>839</v>
      </c>
      <c r="D43" s="10" t="s">
        <v>840</v>
      </c>
      <c r="E43" s="35" t="s">
        <v>295</v>
      </c>
      <c r="F43" s="22" t="s">
        <v>390</v>
      </c>
      <c r="G43" s="36"/>
      <c r="H43" s="36"/>
      <c r="I43" s="36"/>
      <c r="J43" s="6"/>
      <c r="K43" s="38" t="s">
        <v>841</v>
      </c>
      <c r="L43" s="34" t="s">
        <v>345</v>
      </c>
    </row>
    <row r="44" customFormat="false" ht="15" hidden="false" customHeight="true" outlineLevel="0" collapsed="false">
      <c r="A44" s="35" t="n">
        <v>19</v>
      </c>
      <c r="B44" s="22" t="s">
        <v>822</v>
      </c>
      <c r="C44" s="10" t="s">
        <v>842</v>
      </c>
      <c r="D44" s="37" t="s">
        <v>843</v>
      </c>
      <c r="E44" s="35" t="s">
        <v>295</v>
      </c>
      <c r="F44" s="22" t="s">
        <v>338</v>
      </c>
      <c r="G44" s="36"/>
      <c r="H44" s="36"/>
      <c r="I44" s="36"/>
      <c r="J44" s="6"/>
      <c r="K44" s="33" t="s">
        <v>844</v>
      </c>
      <c r="L44" s="34" t="s">
        <v>70</v>
      </c>
    </row>
    <row r="45" customFormat="false" ht="16.5" hidden="false" customHeight="true" outlineLevel="0" collapsed="false">
      <c r="A45" s="25" t="s">
        <v>845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customFormat="false" ht="29.25" hidden="false" customHeight="true" outlineLevel="0" collapsed="false">
      <c r="A46" s="35" t="n">
        <v>20</v>
      </c>
      <c r="B46" s="22" t="s">
        <v>846</v>
      </c>
      <c r="C46" s="37" t="s">
        <v>847</v>
      </c>
      <c r="D46" s="10" t="s">
        <v>848</v>
      </c>
      <c r="E46" s="41" t="s">
        <v>303</v>
      </c>
      <c r="F46" s="22" t="s">
        <v>338</v>
      </c>
      <c r="G46" s="36"/>
      <c r="H46" s="36"/>
      <c r="I46" s="36"/>
      <c r="J46" s="6"/>
      <c r="K46" s="38" t="s">
        <v>849</v>
      </c>
      <c r="L46" s="34" t="s">
        <v>104</v>
      </c>
    </row>
    <row r="47" customFormat="false" ht="24.75" hidden="false" customHeight="true" outlineLevel="0" collapsed="false">
      <c r="A47" s="35" t="n">
        <v>21</v>
      </c>
      <c r="B47" s="22" t="s">
        <v>846</v>
      </c>
      <c r="C47" s="37" t="s">
        <v>850</v>
      </c>
      <c r="D47" s="37" t="s">
        <v>851</v>
      </c>
      <c r="E47" s="35" t="s">
        <v>295</v>
      </c>
      <c r="F47" s="22" t="s">
        <v>338</v>
      </c>
      <c r="G47" s="36"/>
      <c r="H47" s="36"/>
      <c r="I47" s="36"/>
      <c r="J47" s="6"/>
      <c r="K47" s="38" t="s">
        <v>852</v>
      </c>
      <c r="L47" s="34" t="s">
        <v>108</v>
      </c>
    </row>
    <row r="48" customFormat="false" ht="15" hidden="false" customHeight="true" outlineLevel="0" collapsed="false">
      <c r="A48" s="35" t="n">
        <v>22</v>
      </c>
      <c r="B48" s="22" t="s">
        <v>846</v>
      </c>
      <c r="C48" s="10" t="s">
        <v>853</v>
      </c>
      <c r="D48" s="37" t="s">
        <v>854</v>
      </c>
      <c r="E48" s="35" t="s">
        <v>295</v>
      </c>
      <c r="F48" s="22" t="s">
        <v>304</v>
      </c>
      <c r="G48" s="36"/>
      <c r="H48" s="36"/>
      <c r="I48" s="36"/>
      <c r="J48" s="6"/>
      <c r="K48" s="38" t="s">
        <v>855</v>
      </c>
      <c r="L48" s="34" t="s">
        <v>104</v>
      </c>
    </row>
    <row r="49" customFormat="false" ht="15" hidden="false" customHeight="true" outlineLevel="0" collapsed="false">
      <c r="A49" s="35" t="n">
        <v>23</v>
      </c>
      <c r="B49" s="22" t="s">
        <v>846</v>
      </c>
      <c r="C49" s="10" t="s">
        <v>856</v>
      </c>
      <c r="D49" s="10" t="s">
        <v>857</v>
      </c>
      <c r="E49" s="35" t="s">
        <v>295</v>
      </c>
      <c r="F49" s="22" t="s">
        <v>338</v>
      </c>
      <c r="G49" s="36"/>
      <c r="H49" s="36"/>
      <c r="I49" s="36"/>
      <c r="J49" s="6"/>
      <c r="K49" s="38" t="s">
        <v>849</v>
      </c>
      <c r="L49" s="34" t="s">
        <v>104</v>
      </c>
    </row>
    <row r="50" customFormat="false" ht="15" hidden="false" customHeight="true" outlineLevel="0" collapsed="false">
      <c r="A50" s="35" t="n">
        <v>24</v>
      </c>
      <c r="B50" s="22" t="s">
        <v>846</v>
      </c>
      <c r="C50" s="10" t="s">
        <v>858</v>
      </c>
      <c r="D50" s="37" t="s">
        <v>859</v>
      </c>
      <c r="E50" s="35" t="s">
        <v>332</v>
      </c>
      <c r="F50" s="22" t="s">
        <v>338</v>
      </c>
      <c r="G50" s="36"/>
      <c r="H50" s="36"/>
      <c r="I50" s="36"/>
      <c r="J50" s="6"/>
      <c r="K50" s="38" t="s">
        <v>860</v>
      </c>
      <c r="L50" s="34" t="s">
        <v>345</v>
      </c>
    </row>
    <row r="51" customFormat="false" ht="16.5" hidden="false" customHeight="true" outlineLevel="0" collapsed="false">
      <c r="A51" s="25" t="s">
        <v>861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customFormat="false" ht="15" hidden="false" customHeight="true" outlineLevel="0" collapsed="false">
      <c r="A52" s="35" t="n">
        <v>25</v>
      </c>
      <c r="B52" s="35" t="s">
        <v>862</v>
      </c>
      <c r="C52" s="37" t="s">
        <v>863</v>
      </c>
      <c r="D52" s="37" t="s">
        <v>864</v>
      </c>
      <c r="E52" s="41" t="s">
        <v>303</v>
      </c>
      <c r="F52" s="22" t="s">
        <v>342</v>
      </c>
      <c r="G52" s="36"/>
      <c r="H52" s="36"/>
      <c r="I52" s="36"/>
      <c r="J52" s="6"/>
      <c r="K52" s="38" t="s">
        <v>865</v>
      </c>
      <c r="L52" s="34" t="s">
        <v>108</v>
      </c>
    </row>
    <row r="53" customFormat="false" ht="15" hidden="false" customHeight="true" outlineLevel="0" collapsed="false">
      <c r="A53" s="35" t="n">
        <v>26</v>
      </c>
      <c r="B53" s="35" t="s">
        <v>862</v>
      </c>
      <c r="C53" s="37" t="s">
        <v>866</v>
      </c>
      <c r="D53" s="10" t="s">
        <v>867</v>
      </c>
      <c r="E53" s="41" t="s">
        <v>303</v>
      </c>
      <c r="F53" s="22" t="s">
        <v>304</v>
      </c>
      <c r="G53" s="36"/>
      <c r="H53" s="36"/>
      <c r="I53" s="36"/>
      <c r="J53" s="6"/>
      <c r="K53" s="33" t="s">
        <v>868</v>
      </c>
      <c r="L53" s="34" t="s">
        <v>70</v>
      </c>
    </row>
    <row r="54" customFormat="false" ht="15" hidden="false" customHeight="true" outlineLevel="0" collapsed="false">
      <c r="A54" s="35" t="n">
        <v>27</v>
      </c>
      <c r="B54" s="35" t="s">
        <v>862</v>
      </c>
      <c r="C54" s="10" t="s">
        <v>640</v>
      </c>
      <c r="D54" s="10" t="s">
        <v>869</v>
      </c>
      <c r="E54" s="35" t="s">
        <v>295</v>
      </c>
      <c r="F54" s="22" t="s">
        <v>345</v>
      </c>
      <c r="G54" s="36"/>
      <c r="H54" s="36"/>
      <c r="I54" s="36"/>
      <c r="J54" s="6"/>
      <c r="K54" s="33" t="s">
        <v>803</v>
      </c>
      <c r="L54" s="34" t="s">
        <v>70</v>
      </c>
    </row>
    <row r="55" customFormat="false" ht="15" hidden="false" customHeight="true" outlineLevel="0" collapsed="false">
      <c r="A55" s="35" t="n">
        <v>28</v>
      </c>
      <c r="B55" s="35" t="s">
        <v>862</v>
      </c>
      <c r="C55" s="10" t="s">
        <v>870</v>
      </c>
      <c r="D55" s="10" t="s">
        <v>871</v>
      </c>
      <c r="E55" s="35" t="s">
        <v>295</v>
      </c>
      <c r="F55" s="22" t="s">
        <v>342</v>
      </c>
      <c r="G55" s="36"/>
      <c r="H55" s="36"/>
      <c r="I55" s="36"/>
      <c r="J55" s="6"/>
      <c r="K55" s="38" t="s">
        <v>744</v>
      </c>
      <c r="L55" s="34" t="s">
        <v>108</v>
      </c>
    </row>
    <row r="56" customFormat="false" ht="15" hidden="false" customHeight="true" outlineLevel="0" collapsed="false">
      <c r="A56" s="35" t="n">
        <v>29</v>
      </c>
      <c r="B56" s="35" t="s">
        <v>862</v>
      </c>
      <c r="C56" s="10" t="s">
        <v>872</v>
      </c>
      <c r="D56" s="10" t="s">
        <v>873</v>
      </c>
      <c r="E56" s="35" t="s">
        <v>295</v>
      </c>
      <c r="F56" s="22" t="s">
        <v>345</v>
      </c>
      <c r="G56" s="36"/>
      <c r="H56" s="36"/>
      <c r="I56" s="36"/>
      <c r="J56" s="6"/>
      <c r="K56" s="33" t="s">
        <v>803</v>
      </c>
      <c r="L56" s="34" t="s">
        <v>70</v>
      </c>
    </row>
    <row r="57" customFormat="false" ht="16.5" hidden="false" customHeight="true" outlineLevel="0" collapsed="false">
      <c r="A57" s="25" t="s">
        <v>874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" hidden="false" customHeight="true" outlineLevel="0" collapsed="false">
      <c r="A58" s="35" t="n">
        <v>30</v>
      </c>
      <c r="B58" s="22" t="s">
        <v>875</v>
      </c>
      <c r="C58" s="10" t="s">
        <v>876</v>
      </c>
      <c r="D58" s="37" t="s">
        <v>877</v>
      </c>
      <c r="E58" s="41" t="s">
        <v>303</v>
      </c>
      <c r="F58" s="22" t="s">
        <v>338</v>
      </c>
      <c r="G58" s="36"/>
      <c r="H58" s="36"/>
      <c r="I58" s="36"/>
      <c r="J58" s="6"/>
      <c r="K58" s="38" t="s">
        <v>878</v>
      </c>
      <c r="L58" s="34" t="s">
        <v>104</v>
      </c>
    </row>
    <row r="59" customFormat="false" ht="15" hidden="false" customHeight="true" outlineLevel="0" collapsed="false">
      <c r="A59" s="35" t="n">
        <v>31</v>
      </c>
      <c r="B59" s="22" t="s">
        <v>875</v>
      </c>
      <c r="C59" s="10" t="s">
        <v>879</v>
      </c>
      <c r="D59" s="10" t="s">
        <v>880</v>
      </c>
      <c r="E59" s="41" t="s">
        <v>303</v>
      </c>
      <c r="F59" s="22" t="s">
        <v>387</v>
      </c>
      <c r="G59" s="36"/>
      <c r="H59" s="36"/>
      <c r="I59" s="36"/>
      <c r="J59" s="6"/>
      <c r="K59" s="38" t="s">
        <v>881</v>
      </c>
      <c r="L59" s="34" t="s">
        <v>108</v>
      </c>
    </row>
    <row r="60" customFormat="false" ht="15" hidden="false" customHeight="true" outlineLevel="0" collapsed="false">
      <c r="A60" s="35" t="n">
        <v>32</v>
      </c>
      <c r="B60" s="22" t="s">
        <v>875</v>
      </c>
      <c r="C60" s="10" t="s">
        <v>882</v>
      </c>
      <c r="D60" s="10" t="s">
        <v>883</v>
      </c>
      <c r="E60" s="35" t="s">
        <v>295</v>
      </c>
      <c r="F60" s="22" t="s">
        <v>345</v>
      </c>
      <c r="G60" s="36"/>
      <c r="H60" s="36"/>
      <c r="I60" s="36"/>
      <c r="J60" s="6"/>
      <c r="K60" s="38" t="s">
        <v>884</v>
      </c>
      <c r="L60" s="34" t="s">
        <v>108</v>
      </c>
    </row>
    <row r="61" customFormat="false" ht="15" hidden="false" customHeight="true" outlineLevel="0" collapsed="false">
      <c r="A61" s="35" t="n">
        <v>33</v>
      </c>
      <c r="B61" s="22" t="s">
        <v>875</v>
      </c>
      <c r="C61" s="10" t="s">
        <v>885</v>
      </c>
      <c r="D61" s="10" t="s">
        <v>886</v>
      </c>
      <c r="E61" s="35" t="s">
        <v>295</v>
      </c>
      <c r="F61" s="22" t="s">
        <v>345</v>
      </c>
      <c r="G61" s="36"/>
      <c r="H61" s="36"/>
      <c r="I61" s="36"/>
      <c r="J61" s="6"/>
      <c r="K61" s="38" t="s">
        <v>887</v>
      </c>
      <c r="L61" s="34" t="s">
        <v>108</v>
      </c>
    </row>
    <row r="62" customFormat="false" ht="15" hidden="false" customHeight="true" outlineLevel="0" collapsed="false">
      <c r="A62" s="35" t="n">
        <v>34</v>
      </c>
      <c r="B62" s="22" t="s">
        <v>875</v>
      </c>
      <c r="C62" s="37" t="s">
        <v>888</v>
      </c>
      <c r="D62" s="10" t="s">
        <v>889</v>
      </c>
      <c r="E62" s="35" t="s">
        <v>295</v>
      </c>
      <c r="F62" s="35" t="s">
        <v>333</v>
      </c>
      <c r="G62" s="36"/>
      <c r="H62" s="36"/>
      <c r="I62" s="36"/>
      <c r="J62" s="6"/>
      <c r="K62" s="33" t="s">
        <v>890</v>
      </c>
      <c r="L62" s="34" t="s">
        <v>70</v>
      </c>
    </row>
    <row r="63" customFormat="false" ht="16.5" hidden="false" customHeight="true" outlineLevel="0" collapsed="false">
      <c r="A63" s="25" t="s">
        <v>891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29.25" hidden="false" customHeight="true" outlineLevel="0" collapsed="false">
      <c r="A64" s="35" t="n">
        <v>35</v>
      </c>
      <c r="B64" s="22" t="s">
        <v>752</v>
      </c>
      <c r="C64" s="10" t="s">
        <v>892</v>
      </c>
      <c r="D64" s="10" t="s">
        <v>893</v>
      </c>
      <c r="E64" s="41" t="s">
        <v>303</v>
      </c>
      <c r="F64" s="22" t="s">
        <v>296</v>
      </c>
      <c r="G64" s="36"/>
      <c r="H64" s="36"/>
      <c r="I64" s="36"/>
      <c r="J64" s="6"/>
      <c r="K64" s="38" t="s">
        <v>894</v>
      </c>
      <c r="L64" s="34" t="s">
        <v>104</v>
      </c>
    </row>
    <row r="65" customFormat="false" ht="15" hidden="false" customHeight="true" outlineLevel="0" collapsed="false">
      <c r="A65" s="35" t="n">
        <v>36</v>
      </c>
      <c r="B65" s="22" t="s">
        <v>752</v>
      </c>
      <c r="C65" s="10" t="s">
        <v>895</v>
      </c>
      <c r="D65" s="10" t="s">
        <v>896</v>
      </c>
      <c r="E65" s="41" t="s">
        <v>303</v>
      </c>
      <c r="F65" s="22" t="s">
        <v>304</v>
      </c>
      <c r="G65" s="36"/>
      <c r="H65" s="36"/>
      <c r="I65" s="36"/>
      <c r="J65" s="6"/>
      <c r="K65" s="38" t="s">
        <v>897</v>
      </c>
      <c r="L65" s="34" t="s">
        <v>345</v>
      </c>
    </row>
    <row r="66" customFormat="false" ht="15" hidden="false" customHeight="true" outlineLevel="0" collapsed="false">
      <c r="A66" s="35" t="n">
        <v>37</v>
      </c>
      <c r="B66" s="22" t="s">
        <v>752</v>
      </c>
      <c r="C66" s="10" t="s">
        <v>898</v>
      </c>
      <c r="D66" s="10" t="s">
        <v>899</v>
      </c>
      <c r="E66" s="35" t="s">
        <v>295</v>
      </c>
      <c r="F66" s="22" t="s">
        <v>311</v>
      </c>
      <c r="G66" s="36"/>
      <c r="H66" s="36"/>
      <c r="I66" s="36"/>
      <c r="J66" s="6"/>
      <c r="K66" s="38" t="s">
        <v>897</v>
      </c>
      <c r="L66" s="34" t="s">
        <v>345</v>
      </c>
    </row>
    <row r="67" customFormat="false" ht="15" hidden="false" customHeight="true" outlineLevel="0" collapsed="false">
      <c r="A67" s="35" t="n">
        <v>38</v>
      </c>
      <c r="B67" s="22" t="s">
        <v>752</v>
      </c>
      <c r="C67" s="10" t="s">
        <v>900</v>
      </c>
      <c r="D67" s="10" t="s">
        <v>901</v>
      </c>
      <c r="E67" s="35" t="s">
        <v>295</v>
      </c>
      <c r="F67" s="22" t="s">
        <v>390</v>
      </c>
      <c r="G67" s="36"/>
      <c r="H67" s="36"/>
      <c r="I67" s="36"/>
      <c r="J67" s="6"/>
      <c r="K67" s="38" t="s">
        <v>897</v>
      </c>
      <c r="L67" s="34" t="s">
        <v>345</v>
      </c>
    </row>
    <row r="68" customFormat="false" ht="16.5" hidden="false" customHeight="true" outlineLevel="0" collapsed="false">
      <c r="A68" s="25" t="s">
        <v>902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29.25" hidden="false" customHeight="true" outlineLevel="0" collapsed="false">
      <c r="A69" s="35" t="n">
        <v>39</v>
      </c>
      <c r="B69" s="35" t="s">
        <v>903</v>
      </c>
      <c r="C69" s="37" t="s">
        <v>904</v>
      </c>
      <c r="D69" s="37" t="s">
        <v>905</v>
      </c>
      <c r="E69" s="41" t="s">
        <v>303</v>
      </c>
      <c r="F69" s="22" t="s">
        <v>506</v>
      </c>
      <c r="G69" s="36"/>
      <c r="H69" s="36"/>
      <c r="I69" s="36"/>
      <c r="J69" s="6"/>
      <c r="K69" s="38" t="s">
        <v>906</v>
      </c>
      <c r="L69" s="34" t="s">
        <v>104</v>
      </c>
    </row>
    <row r="70" customFormat="false" ht="29.25" hidden="false" customHeight="true" outlineLevel="0" collapsed="false">
      <c r="A70" s="35" t="n">
        <v>40</v>
      </c>
      <c r="B70" s="35" t="s">
        <v>903</v>
      </c>
      <c r="C70" s="10" t="s">
        <v>907</v>
      </c>
      <c r="D70" s="37" t="s">
        <v>908</v>
      </c>
      <c r="E70" s="41" t="s">
        <v>303</v>
      </c>
      <c r="F70" s="22" t="s">
        <v>338</v>
      </c>
      <c r="G70" s="36"/>
      <c r="H70" s="36"/>
      <c r="I70" s="36"/>
      <c r="J70" s="6"/>
      <c r="K70" s="38" t="s">
        <v>909</v>
      </c>
      <c r="L70" s="34" t="s">
        <v>108</v>
      </c>
    </row>
    <row r="71" customFormat="false" ht="29.25" hidden="false" customHeight="true" outlineLevel="0" collapsed="false">
      <c r="A71" s="35" t="n">
        <v>41</v>
      </c>
      <c r="B71" s="35" t="s">
        <v>903</v>
      </c>
      <c r="C71" s="10" t="s">
        <v>910</v>
      </c>
      <c r="D71" s="37" t="s">
        <v>911</v>
      </c>
      <c r="E71" s="41" t="s">
        <v>303</v>
      </c>
      <c r="F71" s="22" t="s">
        <v>304</v>
      </c>
      <c r="G71" s="36"/>
      <c r="H71" s="36"/>
      <c r="I71" s="36"/>
      <c r="J71" s="6"/>
      <c r="K71" s="38" t="s">
        <v>906</v>
      </c>
      <c r="L71" s="34" t="s">
        <v>104</v>
      </c>
    </row>
    <row r="72" customFormat="false" ht="15" hidden="false" customHeight="true" outlineLevel="0" collapsed="false">
      <c r="A72" s="35" t="n">
        <v>42</v>
      </c>
      <c r="B72" s="35" t="s">
        <v>903</v>
      </c>
      <c r="C72" s="10" t="s">
        <v>912</v>
      </c>
      <c r="D72" s="10" t="s">
        <v>913</v>
      </c>
      <c r="E72" s="41" t="s">
        <v>303</v>
      </c>
      <c r="F72" s="22" t="s">
        <v>345</v>
      </c>
      <c r="G72" s="36"/>
      <c r="H72" s="36"/>
      <c r="I72" s="36"/>
      <c r="J72" s="6"/>
      <c r="K72" s="38" t="s">
        <v>914</v>
      </c>
      <c r="L72" s="34" t="s">
        <v>345</v>
      </c>
    </row>
    <row r="73" customFormat="false" ht="15" hidden="false" customHeight="true" outlineLevel="0" collapsed="false">
      <c r="A73" s="35" t="n">
        <v>43</v>
      </c>
      <c r="B73" s="35" t="s">
        <v>903</v>
      </c>
      <c r="C73" s="37" t="s">
        <v>915</v>
      </c>
      <c r="D73" s="10" t="s">
        <v>916</v>
      </c>
      <c r="E73" s="35" t="s">
        <v>295</v>
      </c>
      <c r="F73" s="22" t="s">
        <v>390</v>
      </c>
      <c r="G73" s="36"/>
      <c r="H73" s="36"/>
      <c r="I73" s="36"/>
      <c r="J73" s="6"/>
      <c r="K73" s="33" t="s">
        <v>803</v>
      </c>
      <c r="L73" s="34" t="s">
        <v>70</v>
      </c>
    </row>
    <row r="74" customFormat="false" ht="15" hidden="false" customHeight="true" outlineLevel="0" collapsed="false">
      <c r="A74" s="35" t="n">
        <v>44</v>
      </c>
      <c r="B74" s="35" t="s">
        <v>903</v>
      </c>
      <c r="C74" s="10" t="s">
        <v>917</v>
      </c>
      <c r="D74" s="10" t="s">
        <v>918</v>
      </c>
      <c r="E74" s="41" t="s">
        <v>303</v>
      </c>
      <c r="F74" s="35" t="s">
        <v>84</v>
      </c>
      <c r="G74" s="36"/>
      <c r="H74" s="36"/>
      <c r="I74" s="36"/>
      <c r="J74" s="6"/>
      <c r="K74" s="38" t="s">
        <v>919</v>
      </c>
      <c r="L74" s="34" t="s">
        <v>108</v>
      </c>
    </row>
    <row r="75" customFormat="false" ht="16.5" hidden="false" customHeight="true" outlineLevel="0" collapsed="false">
      <c r="A75" s="25" t="s">
        <v>920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" hidden="false" customHeight="true" outlineLevel="0" collapsed="false">
      <c r="A76" s="35" t="n">
        <v>45</v>
      </c>
      <c r="B76" s="22" t="s">
        <v>921</v>
      </c>
      <c r="C76" s="10" t="s">
        <v>922</v>
      </c>
      <c r="D76" s="37" t="s">
        <v>923</v>
      </c>
      <c r="E76" s="41" t="s">
        <v>303</v>
      </c>
      <c r="F76" s="22" t="s">
        <v>296</v>
      </c>
      <c r="G76" s="36"/>
      <c r="H76" s="36"/>
      <c r="I76" s="36"/>
      <c r="J76" s="6"/>
      <c r="K76" s="38" t="s">
        <v>924</v>
      </c>
      <c r="L76" s="34" t="s">
        <v>345</v>
      </c>
    </row>
    <row r="77" customFormat="false" ht="15" hidden="false" customHeight="true" outlineLevel="0" collapsed="false">
      <c r="A77" s="35" t="n">
        <v>46</v>
      </c>
      <c r="B77" s="22" t="s">
        <v>921</v>
      </c>
      <c r="C77" s="37" t="s">
        <v>925</v>
      </c>
      <c r="D77" s="10" t="s">
        <v>926</v>
      </c>
      <c r="E77" s="41" t="s">
        <v>303</v>
      </c>
      <c r="F77" s="22" t="s">
        <v>338</v>
      </c>
      <c r="G77" s="36"/>
      <c r="H77" s="36"/>
      <c r="I77" s="36"/>
      <c r="J77" s="6"/>
      <c r="K77" s="33" t="s">
        <v>803</v>
      </c>
      <c r="L77" s="34" t="s">
        <v>70</v>
      </c>
    </row>
    <row r="78" customFormat="false" ht="15" hidden="false" customHeight="true" outlineLevel="0" collapsed="false">
      <c r="A78" s="35" t="n">
        <v>47</v>
      </c>
      <c r="B78" s="22" t="s">
        <v>921</v>
      </c>
      <c r="C78" s="10" t="s">
        <v>927</v>
      </c>
      <c r="D78" s="10" t="s">
        <v>928</v>
      </c>
      <c r="E78" s="41" t="s">
        <v>303</v>
      </c>
      <c r="F78" s="22" t="s">
        <v>387</v>
      </c>
      <c r="G78" s="36"/>
      <c r="H78" s="36"/>
      <c r="I78" s="36"/>
      <c r="J78" s="6"/>
      <c r="K78" s="38" t="s">
        <v>929</v>
      </c>
      <c r="L78" s="34" t="s">
        <v>345</v>
      </c>
    </row>
    <row r="79" customFormat="false" ht="15" hidden="false" customHeight="true" outlineLevel="0" collapsed="false">
      <c r="A79" s="35" t="n">
        <v>48</v>
      </c>
      <c r="B79" s="22" t="s">
        <v>921</v>
      </c>
      <c r="C79" s="10" t="s">
        <v>930</v>
      </c>
      <c r="D79" s="10" t="s">
        <v>931</v>
      </c>
      <c r="E79" s="41" t="s">
        <v>303</v>
      </c>
      <c r="F79" s="22" t="s">
        <v>345</v>
      </c>
      <c r="G79" s="36"/>
      <c r="H79" s="36"/>
      <c r="I79" s="36"/>
      <c r="J79" s="6"/>
      <c r="K79" s="38" t="s">
        <v>929</v>
      </c>
      <c r="L79" s="34" t="s">
        <v>345</v>
      </c>
    </row>
    <row r="80" customFormat="false" ht="15" hidden="false" customHeight="true" outlineLevel="0" collapsed="false">
      <c r="A80" s="35" t="n">
        <v>49</v>
      </c>
      <c r="B80" s="22" t="s">
        <v>921</v>
      </c>
      <c r="C80" s="10" t="s">
        <v>932</v>
      </c>
      <c r="D80" s="10" t="s">
        <v>933</v>
      </c>
      <c r="E80" s="35" t="s">
        <v>295</v>
      </c>
      <c r="F80" s="22" t="s">
        <v>345</v>
      </c>
      <c r="G80" s="36"/>
      <c r="H80" s="36"/>
      <c r="I80" s="36"/>
      <c r="J80" s="6"/>
      <c r="K80" s="38" t="s">
        <v>934</v>
      </c>
      <c r="L80" s="34" t="s">
        <v>104</v>
      </c>
    </row>
    <row r="81" customFormat="false" ht="15" hidden="false" customHeight="true" outlineLevel="0" collapsed="false">
      <c r="A81" s="35" t="n">
        <v>50</v>
      </c>
      <c r="B81" s="22" t="s">
        <v>921</v>
      </c>
      <c r="C81" s="10" t="s">
        <v>935</v>
      </c>
      <c r="D81" s="10" t="s">
        <v>936</v>
      </c>
      <c r="E81" s="35" t="s">
        <v>295</v>
      </c>
      <c r="F81" s="22" t="s">
        <v>311</v>
      </c>
      <c r="G81" s="36"/>
      <c r="H81" s="36"/>
      <c r="I81" s="36"/>
      <c r="J81" s="6"/>
      <c r="K81" s="33" t="s">
        <v>803</v>
      </c>
      <c r="L81" s="34" t="s">
        <v>70</v>
      </c>
    </row>
    <row r="82" customFormat="false" ht="15" hidden="false" customHeight="true" outlineLevel="0" collapsed="false">
      <c r="A82" s="35" t="n">
        <v>51</v>
      </c>
      <c r="B82" s="22" t="s">
        <v>921</v>
      </c>
      <c r="C82" s="10" t="s">
        <v>937</v>
      </c>
      <c r="D82" s="10" t="s">
        <v>938</v>
      </c>
      <c r="E82" s="35" t="s">
        <v>295</v>
      </c>
      <c r="F82" s="35" t="s">
        <v>84</v>
      </c>
      <c r="G82" s="36"/>
      <c r="H82" s="36"/>
      <c r="I82" s="36"/>
      <c r="J82" s="6"/>
      <c r="K82" s="38" t="s">
        <v>919</v>
      </c>
      <c r="L82" s="34" t="s">
        <v>108</v>
      </c>
    </row>
    <row r="83" customFormat="false" ht="16.5" hidden="false" customHeight="true" outlineLevel="0" collapsed="false">
      <c r="A83" s="25" t="s">
        <v>939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" hidden="false" customHeight="true" outlineLevel="0" collapsed="false">
      <c r="A84" s="35" t="n">
        <v>52</v>
      </c>
      <c r="B84" s="22" t="s">
        <v>940</v>
      </c>
      <c r="C84" s="10" t="s">
        <v>941</v>
      </c>
      <c r="D84" s="10" t="s">
        <v>942</v>
      </c>
      <c r="E84" s="41" t="s">
        <v>303</v>
      </c>
      <c r="F84" s="22" t="s">
        <v>577</v>
      </c>
      <c r="G84" s="36"/>
      <c r="H84" s="36"/>
      <c r="I84" s="36"/>
      <c r="J84" s="6"/>
      <c r="K84" s="33" t="s">
        <v>803</v>
      </c>
      <c r="L84" s="34" t="s">
        <v>70</v>
      </c>
    </row>
    <row r="85" customFormat="false" ht="15" hidden="false" customHeight="true" outlineLevel="0" collapsed="false">
      <c r="A85" s="35" t="n">
        <v>53</v>
      </c>
      <c r="B85" s="22" t="s">
        <v>940</v>
      </c>
      <c r="C85" s="37" t="s">
        <v>943</v>
      </c>
      <c r="D85" s="10" t="s">
        <v>944</v>
      </c>
      <c r="E85" s="35" t="s">
        <v>295</v>
      </c>
      <c r="F85" s="22" t="s">
        <v>345</v>
      </c>
      <c r="G85" s="36"/>
      <c r="H85" s="36"/>
      <c r="I85" s="36"/>
      <c r="J85" s="6"/>
      <c r="K85" s="33" t="s">
        <v>803</v>
      </c>
      <c r="L85" s="34" t="s">
        <v>70</v>
      </c>
    </row>
    <row r="86" customFormat="false" ht="15" hidden="false" customHeight="true" outlineLevel="0" collapsed="false">
      <c r="A86" s="35" t="n">
        <v>54</v>
      </c>
      <c r="B86" s="22" t="s">
        <v>940</v>
      </c>
      <c r="C86" s="37" t="s">
        <v>945</v>
      </c>
      <c r="D86" s="10" t="s">
        <v>946</v>
      </c>
      <c r="E86" s="35" t="s">
        <v>295</v>
      </c>
      <c r="F86" s="22" t="s">
        <v>345</v>
      </c>
      <c r="G86" s="36"/>
      <c r="H86" s="36"/>
      <c r="I86" s="36"/>
      <c r="J86" s="6"/>
      <c r="K86" s="38" t="s">
        <v>947</v>
      </c>
      <c r="L86" s="34" t="s">
        <v>108</v>
      </c>
    </row>
    <row r="87" customFormat="false" ht="15" hidden="false" customHeight="true" outlineLevel="0" collapsed="false">
      <c r="A87" s="35" t="n">
        <v>55</v>
      </c>
      <c r="B87" s="22" t="s">
        <v>940</v>
      </c>
      <c r="C87" s="10" t="s">
        <v>917</v>
      </c>
      <c r="D87" s="10" t="s">
        <v>948</v>
      </c>
      <c r="E87" s="35" t="s">
        <v>295</v>
      </c>
      <c r="F87" s="35" t="s">
        <v>84</v>
      </c>
      <c r="G87" s="36"/>
      <c r="H87" s="36"/>
      <c r="I87" s="36"/>
      <c r="J87" s="6"/>
      <c r="K87" s="38" t="s">
        <v>919</v>
      </c>
      <c r="L87" s="34" t="s">
        <v>108</v>
      </c>
    </row>
    <row r="88" customFormat="false" ht="16.5" hidden="false" customHeight="true" outlineLevel="0" collapsed="false">
      <c r="A88" s="25" t="s">
        <v>949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" hidden="false" customHeight="true" outlineLevel="0" collapsed="false">
      <c r="A89" s="35" t="n">
        <v>56</v>
      </c>
      <c r="B89" s="22" t="s">
        <v>950</v>
      </c>
      <c r="C89" s="10" t="s">
        <v>951</v>
      </c>
      <c r="D89" s="10" t="s">
        <v>952</v>
      </c>
      <c r="E89" s="35" t="s">
        <v>295</v>
      </c>
      <c r="F89" s="22" t="s">
        <v>338</v>
      </c>
      <c r="G89" s="36"/>
      <c r="H89" s="36"/>
      <c r="I89" s="36"/>
      <c r="J89" s="6"/>
      <c r="K89" s="38" t="s">
        <v>953</v>
      </c>
      <c r="L89" s="34" t="s">
        <v>108</v>
      </c>
    </row>
    <row r="90" customFormat="false" ht="15" hidden="false" customHeight="true" outlineLevel="0" collapsed="false">
      <c r="A90" s="35" t="n">
        <v>57</v>
      </c>
      <c r="B90" s="22" t="s">
        <v>950</v>
      </c>
      <c r="C90" s="10" t="s">
        <v>565</v>
      </c>
      <c r="D90" s="10" t="s">
        <v>954</v>
      </c>
      <c r="E90" s="35" t="s">
        <v>295</v>
      </c>
      <c r="F90" s="22" t="s">
        <v>304</v>
      </c>
      <c r="G90" s="36"/>
      <c r="H90" s="36"/>
      <c r="I90" s="36"/>
      <c r="J90" s="6"/>
      <c r="K90" s="33" t="s">
        <v>803</v>
      </c>
      <c r="L90" s="34" t="s">
        <v>70</v>
      </c>
    </row>
    <row r="91" customFormat="false" ht="15" hidden="false" customHeight="true" outlineLevel="0" collapsed="false">
      <c r="A91" s="35" t="n">
        <v>58</v>
      </c>
      <c r="B91" s="22" t="s">
        <v>950</v>
      </c>
      <c r="C91" s="10" t="s">
        <v>955</v>
      </c>
      <c r="D91" s="10" t="s">
        <v>956</v>
      </c>
      <c r="E91" s="35" t="s">
        <v>295</v>
      </c>
      <c r="F91" s="35" t="s">
        <v>84</v>
      </c>
      <c r="G91" s="36"/>
      <c r="H91" s="36"/>
      <c r="I91" s="36"/>
      <c r="J91" s="6"/>
      <c r="K91" s="38" t="s">
        <v>957</v>
      </c>
      <c r="L91" s="34" t="s">
        <v>108</v>
      </c>
    </row>
  </sheetData>
  <autoFilter ref="A21:L91"/>
  <mergeCells count="12">
    <mergeCell ref="A22:L22"/>
    <mergeCell ref="A27:L27"/>
    <mergeCell ref="A31:L31"/>
    <mergeCell ref="A36:L36"/>
    <mergeCell ref="A45:L45"/>
    <mergeCell ref="A51:L51"/>
    <mergeCell ref="A57:L57"/>
    <mergeCell ref="A63:L63"/>
    <mergeCell ref="A68:L68"/>
    <mergeCell ref="A75:L75"/>
    <mergeCell ref="A83:L83"/>
    <mergeCell ref="A88:L88"/>
  </mergeCells>
  <conditionalFormatting sqref="G22:G91">
    <cfRule type="cellIs" priority="2" operator="equal" aboveAverage="0" equalAverage="0" bottom="0" percent="0" rank="0" text="" dxfId="11">
      <formula>"완료"</formula>
    </cfRule>
    <cfRule type="cellIs" priority="3" operator="equal" aboveAverage="0" equalAverage="0" bottom="0" percent="0" rank="0" text="" dxfId="12">
      <formula>"확인중"</formula>
    </cfRule>
    <cfRule type="cellIs" priority="4" operator="equal" aboveAverage="0" equalAverage="0" bottom="0" percent="0" rank="0" text="" dxfId="13">
      <formula>"질의필요"</formula>
    </cfRule>
  </conditionalFormatting>
  <conditionalFormatting sqref="L22:L91">
    <cfRule type="cellIs" priority="5" operator="equal" aboveAverage="0" equalAverage="0" bottom="0" percent="0" rank="0" text="" dxfId="11">
      <formula>"A"</formula>
    </cfRule>
    <cfRule type="cellIs" priority="6" operator="equal" aboveAverage="0" equalAverage="0" bottom="0" percent="0" rank="0" text="" dxfId="14">
      <formula>"B"</formula>
    </cfRule>
    <cfRule type="cellIs" priority="7" operator="equal" aboveAverage="0" equalAverage="0" bottom="0" percent="0" rank="0" text="" dxfId="13">
      <formula>"C"</formula>
    </cfRule>
    <cfRule type="cellIs" priority="8" operator="equal" aboveAverage="0" equalAverage="0" bottom="0" percent="0" rank="0" text="" dxfId="15">
      <formula>"D"</formula>
    </cfRule>
  </conditionalFormatting>
  <dataValidations count="2">
    <dataValidation allowBlank="true" errorStyle="stop" operator="between" showDropDown="false" showErrorMessage="false" showInputMessage="false" sqref="G22:G91" type="list">
      <formula1>"완료,확인중,질의필요,해당없음"</formula1>
      <formula2>0</formula2>
    </dataValidation>
    <dataValidation allowBlank="true" errorStyle="stop" operator="between" showDropDown="false" showErrorMessage="false" showInputMessage="false" sqref="H22:H91" type="list">
      <formula1>"반영,조건명시,미반영,해당없음"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11"/>
    <col collapsed="false" customWidth="true" hidden="false" outlineLevel="0" max="5" min="5" style="1" width="40"/>
  </cols>
  <sheetData>
    <row r="1" customFormat="false" ht="23.25" hidden="false" customHeight="true" outlineLevel="0" collapsed="false">
      <c r="A1" s="39" t="s">
        <v>958</v>
      </c>
    </row>
    <row r="2" customFormat="false" ht="15" hidden="false" customHeight="true" outlineLevel="0" collapsed="false">
      <c r="A2" s="16" t="s">
        <v>959</v>
      </c>
    </row>
    <row r="4" customFormat="false" ht="30" hidden="false" customHeight="true" outlineLevel="0" collapsed="false">
      <c r="A4" s="24" t="s">
        <v>49</v>
      </c>
      <c r="B4" s="24" t="s">
        <v>960</v>
      </c>
      <c r="C4" s="23" t="s">
        <v>961</v>
      </c>
      <c r="D4" s="24" t="s">
        <v>962</v>
      </c>
      <c r="E4" s="24" t="s">
        <v>963</v>
      </c>
    </row>
    <row r="5" customFormat="false" ht="15" hidden="false" customHeight="true" outlineLevel="0" collapsed="false">
      <c r="A5" s="37" t="s">
        <v>964</v>
      </c>
      <c r="B5" s="65" t="n">
        <f aca="false">E_설계!F14</f>
        <v>6087500000</v>
      </c>
      <c r="C5" s="66" t="n">
        <f aca="false">B5/가정!$B$5</f>
        <v>4411231.88405797</v>
      </c>
      <c r="D5" s="67" t="n">
        <f aca="false">IF($B$17=0,0,B5/$B$17)</f>
        <v>0.0577805965988512</v>
      </c>
      <c r="E5" s="37" t="s">
        <v>965</v>
      </c>
    </row>
    <row r="6" customFormat="false" ht="15" hidden="false" customHeight="true" outlineLevel="0" collapsed="false">
      <c r="A6" s="37" t="s">
        <v>966</v>
      </c>
      <c r="B6" s="65" t="n">
        <f aca="false">P_기자재!N17</f>
        <v>36669820000</v>
      </c>
      <c r="C6" s="66" t="n">
        <f aca="false">B6/가정!$B$5</f>
        <v>26572333.3333333</v>
      </c>
      <c r="D6" s="67" t="n">
        <f aca="false">IF($B$17=0,0,B6/$B$17)</f>
        <v>0.348058164562215</v>
      </c>
      <c r="E6" s="37" t="s">
        <v>967</v>
      </c>
    </row>
    <row r="7" customFormat="false" ht="15" hidden="false" customHeight="true" outlineLevel="0" collapsed="false">
      <c r="A7" s="37" t="s">
        <v>968</v>
      </c>
      <c r="B7" s="65" t="n">
        <f aca="false">C_시공!L18</f>
        <v>27384500000</v>
      </c>
      <c r="C7" s="66" t="n">
        <f aca="false">B7/가정!$B$5</f>
        <v>19843840.5797101</v>
      </c>
      <c r="D7" s="67" t="n">
        <f aca="false">IF($B$17=0,0,B7/$B$17)</f>
        <v>0.259924886663038</v>
      </c>
      <c r="E7" s="37" t="s">
        <v>969</v>
      </c>
    </row>
    <row r="8" customFormat="false" ht="15" hidden="false" customHeight="true" outlineLevel="0" collapsed="false">
      <c r="A8" s="4" t="s">
        <v>970</v>
      </c>
      <c r="B8" s="68" t="n">
        <f aca="false">SUM(B5:B7)</f>
        <v>70141820000</v>
      </c>
      <c r="C8" s="69" t="n">
        <f aca="false">B8/가정!$B$5</f>
        <v>50827405.7971015</v>
      </c>
      <c r="D8" s="70" t="n">
        <f aca="false">IF($B$17=0,0,B8/$B$17)</f>
        <v>0.665763647824104</v>
      </c>
      <c r="E8" s="71"/>
    </row>
    <row r="9" customFormat="false" ht="15" hidden="false" customHeight="true" outlineLevel="0" collapsed="false">
      <c r="A9" s="37" t="s">
        <v>971</v>
      </c>
      <c r="B9" s="65" t="n">
        <f aca="false">간접비!H14</f>
        <v>17497721750</v>
      </c>
      <c r="C9" s="66" t="n">
        <f aca="false">B9/가정!$B$5</f>
        <v>12679508.5144928</v>
      </c>
      <c r="D9" s="67" t="n">
        <f aca="false">IF($B$17=0,0,B9/$B$17)</f>
        <v>0.166082760055145</v>
      </c>
      <c r="E9" s="10" t="s">
        <v>972</v>
      </c>
    </row>
    <row r="10" customFormat="false" ht="15" hidden="false" customHeight="true" outlineLevel="0" collapsed="false">
      <c r="A10" s="4" t="s">
        <v>973</v>
      </c>
      <c r="B10" s="68" t="n">
        <f aca="false">B8+B9</f>
        <v>87639541750</v>
      </c>
      <c r="C10" s="69" t="n">
        <f aca="false">B10/가정!$B$5</f>
        <v>63506914.3115942</v>
      </c>
      <c r="D10" s="70" t="n">
        <f aca="false">IF($B$17=0,0,B10/$B$17)</f>
        <v>0.831846407879249</v>
      </c>
      <c r="E10" s="71"/>
    </row>
    <row r="11" customFormat="false" ht="15" hidden="false" customHeight="true" outlineLevel="0" collapsed="false">
      <c r="A11" s="37" t="s">
        <v>974</v>
      </c>
      <c r="B11" s="72" t="n">
        <f aca="false">B10*가정!$B$13</f>
        <v>4381977087.5</v>
      </c>
      <c r="C11" s="66" t="n">
        <f aca="false">B11/가정!$B$5</f>
        <v>3175345.71557971</v>
      </c>
      <c r="D11" s="67" t="n">
        <f aca="false">IF($B$17=0,0,B11/$B$17)</f>
        <v>0.0415923203939625</v>
      </c>
      <c r="E11" s="37" t="s">
        <v>975</v>
      </c>
    </row>
    <row r="12" customFormat="false" ht="15" hidden="false" customHeight="true" outlineLevel="0" collapsed="false">
      <c r="A12" s="37" t="s">
        <v>976</v>
      </c>
      <c r="B12" s="72" t="n">
        <f aca="false">B10*가정!$B$14</f>
        <v>1752790835</v>
      </c>
      <c r="C12" s="66" t="n">
        <f aca="false">B12/가정!$B$5</f>
        <v>1270138.28623188</v>
      </c>
      <c r="D12" s="67" t="n">
        <f aca="false">IF($B$17=0,0,B12/$B$17)</f>
        <v>0.016636928157585</v>
      </c>
      <c r="E12" s="37" t="s">
        <v>975</v>
      </c>
    </row>
    <row r="13" customFormat="false" ht="15" hidden="false" customHeight="true" outlineLevel="0" collapsed="false">
      <c r="A13" s="37" t="s">
        <v>977</v>
      </c>
      <c r="B13" s="72" t="n">
        <f aca="false">(B10+B11+B12)*가정!$B$15</f>
        <v>4688715483.625</v>
      </c>
      <c r="C13" s="66" t="n">
        <f aca="false">B13/가정!$B$5</f>
        <v>3397619.91567029</v>
      </c>
      <c r="D13" s="67" t="n">
        <f aca="false">IF($B$17=0,0,B13/$B$17)</f>
        <v>0.0445037828215398</v>
      </c>
      <c r="E13" s="37" t="s">
        <v>978</v>
      </c>
    </row>
    <row r="14" customFormat="false" ht="15" hidden="false" customHeight="true" outlineLevel="0" collapsed="false">
      <c r="A14" s="4" t="s">
        <v>979</v>
      </c>
      <c r="B14" s="68" t="n">
        <f aca="false">B10+B11+B12+B13</f>
        <v>98463025156.125</v>
      </c>
      <c r="C14" s="69" t="n">
        <f aca="false">B14/가정!$B$5</f>
        <v>71350018.2290761</v>
      </c>
      <c r="D14" s="70" t="n">
        <f aca="false">IF($B$17=0,0,B14/$B$17)</f>
        <v>0.934579439252336</v>
      </c>
      <c r="E14" s="71"/>
    </row>
    <row r="15" customFormat="false" ht="15" hidden="false" customHeight="true" outlineLevel="0" collapsed="false">
      <c r="A15" s="37" t="s">
        <v>980</v>
      </c>
      <c r="B15" s="72" t="n">
        <f aca="false">B14*가정!$B$16</f>
        <v>6892411760.92875</v>
      </c>
      <c r="C15" s="66" t="n">
        <f aca="false">B15/가정!$B$5</f>
        <v>4994501.27603533</v>
      </c>
      <c r="D15" s="67" t="n">
        <f aca="false">IF($B$17=0,0,B15/$B$17)</f>
        <v>0.0654205607476636</v>
      </c>
      <c r="E15" s="10" t="s">
        <v>981</v>
      </c>
    </row>
    <row r="16" customFormat="false" ht="15" hidden="false" customHeight="true" outlineLevel="0" collapsed="false">
      <c r="A16" s="10"/>
      <c r="B16" s="72"/>
      <c r="C16" s="66"/>
      <c r="D16" s="67"/>
      <c r="E16" s="10"/>
    </row>
    <row r="17" customFormat="false" ht="15" hidden="false" customHeight="true" outlineLevel="0" collapsed="false">
      <c r="A17" s="7" t="s">
        <v>982</v>
      </c>
      <c r="B17" s="73" t="n">
        <f aca="false">B14+B15</f>
        <v>105355436917.054</v>
      </c>
      <c r="C17" s="74" t="n">
        <f aca="false">B17/가정!$B$5</f>
        <v>76344519.5051114</v>
      </c>
      <c r="D17" s="75" t="n">
        <f aca="false">IF($B$17=0,0,B17/$B$17)</f>
        <v>1</v>
      </c>
      <c r="E17" s="76" t="s">
        <v>983</v>
      </c>
    </row>
    <row r="18" customFormat="false" ht="15" hidden="false" customHeight="true" outlineLevel="0" collapsed="false">
      <c r="A18" s="10" t="s">
        <v>984</v>
      </c>
      <c r="B18" s="72" t="n">
        <f aca="false">B17*가정!$B$17</f>
        <v>10535543691.7054</v>
      </c>
      <c r="C18" s="66" t="n">
        <f aca="false">B18/가정!$B$5</f>
        <v>7634451.95051114</v>
      </c>
      <c r="D18" s="67"/>
      <c r="E18" s="10"/>
    </row>
    <row r="19" customFormat="false" ht="15" hidden="false" customHeight="true" outlineLevel="0" collapsed="false">
      <c r="A19" s="7" t="s">
        <v>25</v>
      </c>
      <c r="B19" s="73" t="n">
        <f aca="false">B17+B18</f>
        <v>115890980608.759</v>
      </c>
      <c r="C19" s="74" t="n">
        <f aca="false">B19/가정!$B$5</f>
        <v>83978971.4556226</v>
      </c>
      <c r="D19" s="75"/>
      <c r="E19" s="76"/>
    </row>
    <row r="21" customFormat="false" ht="15" hidden="false" customHeight="true" outlineLevel="0" collapsed="false">
      <c r="A21" s="16" t="s">
        <v>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23.25" hidden="false" customHeight="true" outlineLevel="0" collapsed="false">
      <c r="A1" s="39" t="s">
        <v>986</v>
      </c>
    </row>
    <row r="2" customFormat="false" ht="15" hidden="false" customHeight="true" outlineLevel="0" collapsed="false">
      <c r="A2" s="16" t="s">
        <v>987</v>
      </c>
    </row>
    <row r="4" customFormat="false" ht="30" hidden="false" customHeight="true" outlineLevel="0" collapsed="false">
      <c r="A4" s="24" t="s">
        <v>662</v>
      </c>
      <c r="B4" s="24" t="s">
        <v>663</v>
      </c>
      <c r="C4" s="24" t="s">
        <v>988</v>
      </c>
    </row>
    <row r="5" customFormat="false" ht="15" hidden="false" customHeight="true" outlineLevel="0" collapsed="false">
      <c r="A5" s="64" t="s">
        <v>989</v>
      </c>
      <c r="B5" s="77" t="n">
        <v>1380</v>
      </c>
      <c r="C5" s="33" t="s">
        <v>990</v>
      </c>
    </row>
    <row r="6" customFormat="false" ht="15" hidden="false" customHeight="true" outlineLevel="0" collapsed="false">
      <c r="A6" s="64" t="s">
        <v>991</v>
      </c>
      <c r="B6" s="77" t="n">
        <v>1500</v>
      </c>
      <c r="C6" s="33" t="s">
        <v>990</v>
      </c>
    </row>
    <row r="7" customFormat="false" ht="15" hidden="false" customHeight="true" outlineLevel="0" collapsed="false">
      <c r="A7" s="64" t="s">
        <v>992</v>
      </c>
      <c r="B7" s="78" t="n">
        <v>0.04</v>
      </c>
      <c r="C7" s="33" t="s">
        <v>993</v>
      </c>
    </row>
    <row r="8" customFormat="false" ht="15" hidden="false" customHeight="true" outlineLevel="0" collapsed="false">
      <c r="A8" s="64" t="s">
        <v>994</v>
      </c>
      <c r="B8" s="78" t="n">
        <v>0.03</v>
      </c>
      <c r="C8" s="33" t="s">
        <v>995</v>
      </c>
    </row>
    <row r="9" customFormat="false" ht="15" hidden="false" customHeight="true" outlineLevel="0" collapsed="false">
      <c r="A9" s="64" t="s">
        <v>996</v>
      </c>
      <c r="B9" s="78" t="n">
        <v>0.01</v>
      </c>
      <c r="C9" s="33" t="s">
        <v>997</v>
      </c>
    </row>
    <row r="10" customFormat="false" ht="15" hidden="false" customHeight="true" outlineLevel="0" collapsed="false">
      <c r="A10" s="64" t="s">
        <v>998</v>
      </c>
      <c r="B10" s="78" t="n">
        <v>0.0237</v>
      </c>
      <c r="C10" s="38" t="s">
        <v>999</v>
      </c>
    </row>
    <row r="11" customFormat="false" ht="15" hidden="false" customHeight="true" outlineLevel="0" collapsed="false">
      <c r="A11" s="64" t="s">
        <v>1000</v>
      </c>
      <c r="B11" s="78" t="n">
        <v>0.003</v>
      </c>
      <c r="C11" s="33" t="s">
        <v>1001</v>
      </c>
    </row>
    <row r="12" customFormat="false" ht="15" hidden="false" customHeight="true" outlineLevel="0" collapsed="false">
      <c r="A12" s="64" t="s">
        <v>1002</v>
      </c>
      <c r="B12" s="78" t="n">
        <v>0.002</v>
      </c>
      <c r="C12" s="33" t="s">
        <v>1003</v>
      </c>
    </row>
    <row r="13" customFormat="false" ht="15" hidden="false" customHeight="true" outlineLevel="0" collapsed="false">
      <c r="A13" s="64" t="s">
        <v>1004</v>
      </c>
      <c r="B13" s="78" t="n">
        <v>0.05</v>
      </c>
      <c r="C13" s="33" t="s">
        <v>1005</v>
      </c>
    </row>
    <row r="14" customFormat="false" ht="15" hidden="false" customHeight="true" outlineLevel="0" collapsed="false">
      <c r="A14" s="64" t="s">
        <v>1006</v>
      </c>
      <c r="B14" s="78" t="n">
        <v>0.02</v>
      </c>
      <c r="C14" s="33" t="s">
        <v>1007</v>
      </c>
    </row>
    <row r="15" customFormat="false" ht="15" hidden="false" customHeight="true" outlineLevel="0" collapsed="false">
      <c r="A15" s="64" t="s">
        <v>1008</v>
      </c>
      <c r="B15" s="78" t="n">
        <v>0.05</v>
      </c>
      <c r="C15" s="33" t="s">
        <v>1009</v>
      </c>
    </row>
    <row r="16" customFormat="false" ht="15" hidden="false" customHeight="true" outlineLevel="0" collapsed="false">
      <c r="A16" s="64" t="s">
        <v>1010</v>
      </c>
      <c r="B16" s="78" t="n">
        <v>0.07</v>
      </c>
      <c r="C16" s="33" t="s">
        <v>1011</v>
      </c>
    </row>
    <row r="17" customFormat="false" ht="15" hidden="false" customHeight="true" outlineLevel="0" collapsed="false">
      <c r="A17" s="64" t="s">
        <v>1012</v>
      </c>
      <c r="B17" s="78" t="n">
        <v>0.1</v>
      </c>
      <c r="C17" s="33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4"/>
  </cols>
  <sheetData>
    <row r="1" customFormat="false" ht="23.25" hidden="false" customHeight="true" outlineLevel="0" collapsed="false">
      <c r="A1" s="14" t="s">
        <v>1014</v>
      </c>
    </row>
    <row r="2" customFormat="false" ht="15" hidden="false" customHeight="true" outlineLevel="0" collapsed="false">
      <c r="A2" s="16" t="s">
        <v>1015</v>
      </c>
    </row>
    <row r="3" customFormat="false" ht="15" hidden="false" customHeight="true" outlineLevel="0" collapsed="false">
      <c r="A3" s="19" t="s">
        <v>1016</v>
      </c>
    </row>
    <row r="4" customFormat="false" ht="30" hidden="false" customHeight="true" outlineLevel="0" collapsed="false">
      <c r="A4" s="23" t="s">
        <v>48</v>
      </c>
      <c r="B4" s="24" t="s">
        <v>1017</v>
      </c>
      <c r="C4" s="24" t="s">
        <v>1018</v>
      </c>
      <c r="D4" s="23" t="s">
        <v>1019</v>
      </c>
      <c r="E4" s="24" t="s">
        <v>1020</v>
      </c>
      <c r="F4" s="24" t="s">
        <v>960</v>
      </c>
      <c r="G4" s="24" t="s">
        <v>456</v>
      </c>
    </row>
    <row r="5" customFormat="false" ht="15" hidden="false" customHeight="true" outlineLevel="0" collapsed="false">
      <c r="A5" s="35" t="n">
        <v>1</v>
      </c>
      <c r="B5" s="10" t="s">
        <v>1021</v>
      </c>
      <c r="C5" s="37" t="s">
        <v>1022</v>
      </c>
      <c r="D5" s="79" t="n">
        <v>6500</v>
      </c>
      <c r="E5" s="80" t="n">
        <v>95000</v>
      </c>
      <c r="F5" s="72" t="n">
        <f aca="false">D5*E5</f>
        <v>617500000</v>
      </c>
      <c r="G5" s="37" t="s">
        <v>1023</v>
      </c>
    </row>
    <row r="6" customFormat="false" ht="15" hidden="false" customHeight="true" outlineLevel="0" collapsed="false">
      <c r="A6" s="35" t="n">
        <v>2</v>
      </c>
      <c r="B6" s="10" t="s">
        <v>1024</v>
      </c>
      <c r="C6" s="37" t="s">
        <v>1025</v>
      </c>
      <c r="D6" s="79" t="n">
        <v>18000</v>
      </c>
      <c r="E6" s="80" t="n">
        <v>85000</v>
      </c>
      <c r="F6" s="72" t="n">
        <f aca="false">D6*E6</f>
        <v>1530000000</v>
      </c>
      <c r="G6" s="37" t="s">
        <v>1026</v>
      </c>
    </row>
    <row r="7" customFormat="false" ht="15" hidden="false" customHeight="true" outlineLevel="0" collapsed="false">
      <c r="A7" s="35" t="n">
        <v>3</v>
      </c>
      <c r="B7" s="10" t="s">
        <v>1027</v>
      </c>
      <c r="C7" s="37" t="s">
        <v>1025</v>
      </c>
      <c r="D7" s="79" t="n">
        <v>7000</v>
      </c>
      <c r="E7" s="80" t="n">
        <v>85000</v>
      </c>
      <c r="F7" s="72" t="n">
        <f aca="false">D7*E7</f>
        <v>595000000</v>
      </c>
      <c r="G7" s="10" t="s">
        <v>1028</v>
      </c>
    </row>
    <row r="8" customFormat="false" ht="15" hidden="false" customHeight="true" outlineLevel="0" collapsed="false">
      <c r="A8" s="35" t="n">
        <v>4</v>
      </c>
      <c r="B8" s="10" t="s">
        <v>1029</v>
      </c>
      <c r="C8" s="37" t="s">
        <v>1025</v>
      </c>
      <c r="D8" s="79" t="n">
        <v>8500</v>
      </c>
      <c r="E8" s="80" t="n">
        <v>80000</v>
      </c>
      <c r="F8" s="72" t="n">
        <f aca="false">D8*E8</f>
        <v>680000000</v>
      </c>
      <c r="G8" s="10" t="s">
        <v>1030</v>
      </c>
    </row>
    <row r="9" customFormat="false" ht="15" hidden="false" customHeight="true" outlineLevel="0" collapsed="false">
      <c r="A9" s="35" t="n">
        <v>5</v>
      </c>
      <c r="B9" s="10" t="s">
        <v>1031</v>
      </c>
      <c r="C9" s="37" t="s">
        <v>1025</v>
      </c>
      <c r="D9" s="79" t="n">
        <v>5000</v>
      </c>
      <c r="E9" s="80" t="n">
        <v>80000</v>
      </c>
      <c r="F9" s="72" t="n">
        <f aca="false">D9*E9</f>
        <v>400000000</v>
      </c>
      <c r="G9" s="10" t="s">
        <v>1032</v>
      </c>
    </row>
    <row r="10" customFormat="false" ht="15" hidden="false" customHeight="true" outlineLevel="0" collapsed="false">
      <c r="A10" s="35" t="n">
        <v>6</v>
      </c>
      <c r="B10" s="10" t="s">
        <v>1033</v>
      </c>
      <c r="C10" s="37" t="s">
        <v>1025</v>
      </c>
      <c r="D10" s="79" t="n">
        <v>6000</v>
      </c>
      <c r="E10" s="80" t="n">
        <v>85000</v>
      </c>
      <c r="F10" s="72" t="n">
        <f aca="false">D10*E10</f>
        <v>510000000</v>
      </c>
      <c r="G10" s="10" t="s">
        <v>1034</v>
      </c>
    </row>
    <row r="11" customFormat="false" ht="15" hidden="false" customHeight="true" outlineLevel="0" collapsed="false">
      <c r="A11" s="35" t="n">
        <v>7</v>
      </c>
      <c r="B11" s="10" t="s">
        <v>1035</v>
      </c>
      <c r="C11" s="37" t="s">
        <v>1025</v>
      </c>
      <c r="D11" s="79" t="n">
        <v>7500</v>
      </c>
      <c r="E11" s="80" t="n">
        <v>90000</v>
      </c>
      <c r="F11" s="72" t="n">
        <f aca="false">D11*E11</f>
        <v>675000000</v>
      </c>
      <c r="G11" s="37" t="s">
        <v>1036</v>
      </c>
    </row>
    <row r="12" customFormat="false" ht="15" hidden="false" customHeight="true" outlineLevel="0" collapsed="false">
      <c r="A12" s="35" t="n">
        <v>8</v>
      </c>
      <c r="B12" s="37" t="s">
        <v>1037</v>
      </c>
      <c r="C12" s="10" t="s">
        <v>1038</v>
      </c>
      <c r="D12" s="79" t="n">
        <v>9000</v>
      </c>
      <c r="E12" s="80" t="n">
        <v>100000</v>
      </c>
      <c r="F12" s="72" t="n">
        <f aca="false">D12*E12</f>
        <v>900000000</v>
      </c>
      <c r="G12" s="37" t="s">
        <v>1039</v>
      </c>
    </row>
    <row r="13" customFormat="false" ht="15" hidden="false" customHeight="true" outlineLevel="0" collapsed="false">
      <c r="A13" s="35" t="n">
        <v>9</v>
      </c>
      <c r="B13" s="37" t="s">
        <v>1040</v>
      </c>
      <c r="C13" s="37" t="s">
        <v>1041</v>
      </c>
      <c r="D13" s="79" t="n">
        <v>1</v>
      </c>
      <c r="E13" s="80" t="n">
        <v>180000000</v>
      </c>
      <c r="F13" s="72" t="n">
        <f aca="false">D13*E13</f>
        <v>180000000</v>
      </c>
      <c r="G13" s="10" t="s">
        <v>1042</v>
      </c>
    </row>
    <row r="14" customFormat="false" ht="15" hidden="false" customHeight="true" outlineLevel="0" collapsed="false">
      <c r="A14" s="81"/>
      <c r="B14" s="82" t="s">
        <v>1043</v>
      </c>
      <c r="C14" s="82"/>
      <c r="D14" s="83" t="n">
        <f aca="false">SUM(D5:D12)</f>
        <v>67500</v>
      </c>
      <c r="E14" s="82"/>
      <c r="F14" s="73" t="n">
        <f aca="false">SUM(F5:F13)</f>
        <v>6087500000</v>
      </c>
      <c r="G14" s="81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7" min="5" style="1" width="7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5"/>
    <col collapsed="false" customWidth="true" hidden="false" outlineLevel="0" max="11" min="11" style="1" width="17"/>
    <col collapsed="false" customWidth="true" hidden="false" outlineLevel="0" max="13" min="12" style="1" width="15"/>
    <col collapsed="false" customWidth="true" hidden="false" outlineLevel="0" max="14" min="14" style="1" width="17"/>
    <col collapsed="false" customWidth="true" hidden="false" outlineLevel="0" max="15" min="15" style="1" width="14"/>
  </cols>
  <sheetData>
    <row r="1" customFormat="false" ht="23.25" hidden="false" customHeight="true" outlineLevel="0" collapsed="false">
      <c r="A1" s="14" t="s">
        <v>1045</v>
      </c>
    </row>
    <row r="2" customFormat="false" ht="15" hidden="false" customHeight="true" outlineLevel="0" collapsed="false">
      <c r="A2" s="16" t="s">
        <v>1046</v>
      </c>
    </row>
    <row r="3" customFormat="false" ht="15" hidden="false" customHeight="true" outlineLevel="0" collapsed="false">
      <c r="A3" s="19" t="s">
        <v>1016</v>
      </c>
    </row>
    <row r="4" customFormat="false" ht="30" hidden="false" customHeight="true" outlineLevel="0" collapsed="false">
      <c r="A4" s="23" t="s">
        <v>48</v>
      </c>
      <c r="B4" s="23" t="s">
        <v>1047</v>
      </c>
      <c r="C4" s="24" t="s">
        <v>1048</v>
      </c>
      <c r="D4" s="24" t="s">
        <v>1049</v>
      </c>
      <c r="E4" s="24" t="s">
        <v>1050</v>
      </c>
      <c r="F4" s="24" t="s">
        <v>664</v>
      </c>
      <c r="G4" s="24" t="s">
        <v>1051</v>
      </c>
      <c r="H4" s="24" t="s">
        <v>1052</v>
      </c>
      <c r="I4" s="24" t="s">
        <v>1053</v>
      </c>
      <c r="J4" s="24" t="s">
        <v>1054</v>
      </c>
      <c r="K4" s="23" t="s">
        <v>1055</v>
      </c>
      <c r="L4" s="24" t="s">
        <v>1056</v>
      </c>
      <c r="M4" s="24" t="s">
        <v>1057</v>
      </c>
      <c r="N4" s="24" t="s">
        <v>1058</v>
      </c>
      <c r="O4" s="24" t="s">
        <v>1059</v>
      </c>
    </row>
    <row r="5" customFormat="false" ht="24.75" hidden="false" customHeight="true" outlineLevel="0" collapsed="false">
      <c r="A5" s="35" t="n">
        <v>1</v>
      </c>
      <c r="B5" s="37" t="s">
        <v>1060</v>
      </c>
      <c r="C5" s="10" t="s">
        <v>1061</v>
      </c>
      <c r="D5" s="37" t="s">
        <v>1062</v>
      </c>
      <c r="E5" s="84" t="n">
        <v>1</v>
      </c>
      <c r="F5" s="85" t="s">
        <v>1063</v>
      </c>
      <c r="G5" s="85" t="s">
        <v>1064</v>
      </c>
      <c r="H5" s="79" t="n">
        <v>2850000</v>
      </c>
      <c r="I5" s="86" t="n">
        <f aca="false">IF(G5="USD",가정!$B$5,IF(G5="EUR",가정!$B$6,1))</f>
        <v>1380</v>
      </c>
      <c r="J5" s="72" t="n">
        <f aca="false">H5*I5</f>
        <v>3933000000</v>
      </c>
      <c r="K5" s="72" t="n">
        <f aca="false">E5*J5</f>
        <v>3933000000</v>
      </c>
      <c r="L5" s="72" t="n">
        <f aca="false">IF(G5="KRW",K5*가정!$B$9,K5*가정!$B$7)</f>
        <v>157320000</v>
      </c>
      <c r="M5" s="72" t="n">
        <f aca="false">IF(G5="KRW",0,K5*가정!$B$8)</f>
        <v>117990000</v>
      </c>
      <c r="N5" s="72" t="n">
        <f aca="false">K5+L5+M5</f>
        <v>4208310000</v>
      </c>
      <c r="O5" s="10" t="s">
        <v>1065</v>
      </c>
    </row>
    <row r="6" customFormat="false" ht="15" hidden="false" customHeight="true" outlineLevel="0" collapsed="false">
      <c r="A6" s="35" t="n">
        <v>2</v>
      </c>
      <c r="B6" s="37" t="s">
        <v>1066</v>
      </c>
      <c r="C6" s="10" t="s">
        <v>1067</v>
      </c>
      <c r="D6" s="37" t="s">
        <v>1068</v>
      </c>
      <c r="E6" s="84" t="n">
        <v>1</v>
      </c>
      <c r="F6" s="85" t="s">
        <v>1063</v>
      </c>
      <c r="G6" s="85" t="s">
        <v>1069</v>
      </c>
      <c r="H6" s="79" t="n">
        <v>3200000000</v>
      </c>
      <c r="I6" s="86" t="n">
        <f aca="false">IF(G6="USD",가정!$B$5,IF(G6="EUR",가정!$B$6,1))</f>
        <v>1</v>
      </c>
      <c r="J6" s="72" t="n">
        <f aca="false">H6*I6</f>
        <v>3200000000</v>
      </c>
      <c r="K6" s="72" t="n">
        <f aca="false">E6*J6</f>
        <v>3200000000</v>
      </c>
      <c r="L6" s="72" t="n">
        <f aca="false">IF(G6="KRW",K6*가정!$B$9,K6*가정!$B$7)</f>
        <v>32000000</v>
      </c>
      <c r="M6" s="72" t="n">
        <f aca="false">IF(G6="KRW",0,K6*가정!$B$8)</f>
        <v>0</v>
      </c>
      <c r="N6" s="72" t="n">
        <f aca="false">K6+L6+M6</f>
        <v>3232000000</v>
      </c>
      <c r="O6" s="10" t="s">
        <v>1070</v>
      </c>
    </row>
    <row r="7" customFormat="false" ht="15" hidden="false" customHeight="true" outlineLevel="0" collapsed="false">
      <c r="A7" s="35" t="n">
        <v>3</v>
      </c>
      <c r="B7" s="37" t="s">
        <v>1071</v>
      </c>
      <c r="C7" s="10" t="s">
        <v>1072</v>
      </c>
      <c r="D7" s="37" t="s">
        <v>1073</v>
      </c>
      <c r="E7" s="84" t="n">
        <v>8</v>
      </c>
      <c r="F7" s="85" t="s">
        <v>1063</v>
      </c>
      <c r="G7" s="85" t="s">
        <v>1069</v>
      </c>
      <c r="H7" s="79" t="n">
        <v>185000000</v>
      </c>
      <c r="I7" s="86" t="n">
        <f aca="false">IF(G7="USD",가정!$B$5,IF(G7="EUR",가정!$B$6,1))</f>
        <v>1</v>
      </c>
      <c r="J7" s="72" t="n">
        <f aca="false">H7*I7</f>
        <v>185000000</v>
      </c>
      <c r="K7" s="72" t="n">
        <f aca="false">E7*J7</f>
        <v>1480000000</v>
      </c>
      <c r="L7" s="72" t="n">
        <f aca="false">IF(G7="KRW",K7*가정!$B$9,K7*가정!$B$7)</f>
        <v>14800000</v>
      </c>
      <c r="M7" s="72" t="n">
        <f aca="false">IF(G7="KRW",0,K7*가정!$B$8)</f>
        <v>0</v>
      </c>
      <c r="N7" s="72" t="n">
        <f aca="false">K7+L7+M7</f>
        <v>1494800000</v>
      </c>
      <c r="O7" s="10" t="s">
        <v>1074</v>
      </c>
    </row>
    <row r="8" customFormat="false" ht="15" hidden="false" customHeight="true" outlineLevel="0" collapsed="false">
      <c r="A8" s="35" t="n">
        <v>4</v>
      </c>
      <c r="B8" s="37" t="s">
        <v>1075</v>
      </c>
      <c r="C8" s="10" t="s">
        <v>1076</v>
      </c>
      <c r="D8" s="37" t="s">
        <v>1077</v>
      </c>
      <c r="E8" s="84" t="n">
        <v>12</v>
      </c>
      <c r="F8" s="85" t="s">
        <v>1063</v>
      </c>
      <c r="G8" s="85" t="s">
        <v>1078</v>
      </c>
      <c r="H8" s="79" t="n">
        <v>95000</v>
      </c>
      <c r="I8" s="86" t="n">
        <f aca="false">IF(G8="USD",가정!$B$5,IF(G8="EUR",가정!$B$6,1))</f>
        <v>1500</v>
      </c>
      <c r="J8" s="72" t="n">
        <f aca="false">H8*I8</f>
        <v>142500000</v>
      </c>
      <c r="K8" s="72" t="n">
        <f aca="false">E8*J8</f>
        <v>1710000000</v>
      </c>
      <c r="L8" s="72" t="n">
        <f aca="false">IF(G8="KRW",K8*가정!$B$9,K8*가정!$B$7)</f>
        <v>68400000</v>
      </c>
      <c r="M8" s="72" t="n">
        <f aca="false">IF(G8="KRW",0,K8*가정!$B$8)</f>
        <v>51300000</v>
      </c>
      <c r="N8" s="72" t="n">
        <f aca="false">K8+L8+M8</f>
        <v>1829700000</v>
      </c>
      <c r="O8" s="10" t="s">
        <v>1079</v>
      </c>
    </row>
    <row r="9" customFormat="false" ht="29.25" hidden="false" customHeight="true" outlineLevel="0" collapsed="false">
      <c r="A9" s="35" t="n">
        <v>5</v>
      </c>
      <c r="B9" s="37" t="s">
        <v>1080</v>
      </c>
      <c r="C9" s="10" t="s">
        <v>1081</v>
      </c>
      <c r="D9" s="10" t="s">
        <v>1082</v>
      </c>
      <c r="E9" s="84" t="n">
        <v>1</v>
      </c>
      <c r="F9" s="85" t="s">
        <v>1083</v>
      </c>
      <c r="G9" s="85" t="s">
        <v>1064</v>
      </c>
      <c r="H9" s="79" t="n">
        <v>4600000</v>
      </c>
      <c r="I9" s="86" t="n">
        <f aca="false">IF(G9="USD",가정!$B$5,IF(G9="EUR",가정!$B$6,1))</f>
        <v>1380</v>
      </c>
      <c r="J9" s="72" t="n">
        <f aca="false">H9*I9</f>
        <v>6348000000</v>
      </c>
      <c r="K9" s="72" t="n">
        <f aca="false">E9*J9</f>
        <v>6348000000</v>
      </c>
      <c r="L9" s="72" t="n">
        <f aca="false">IF(G9="KRW",K9*가정!$B$9,K9*가정!$B$7)</f>
        <v>253920000</v>
      </c>
      <c r="M9" s="72" t="n">
        <f aca="false">IF(G9="KRW",0,K9*가정!$B$8)</f>
        <v>190440000</v>
      </c>
      <c r="N9" s="72" t="n">
        <f aca="false">K9+L9+M9</f>
        <v>6792360000</v>
      </c>
      <c r="O9" s="10" t="s">
        <v>1084</v>
      </c>
    </row>
    <row r="10" customFormat="false" ht="15" hidden="false" customHeight="true" outlineLevel="0" collapsed="false">
      <c r="A10" s="35" t="n">
        <v>6</v>
      </c>
      <c r="B10" s="37" t="s">
        <v>1085</v>
      </c>
      <c r="C10" s="10" t="s">
        <v>1086</v>
      </c>
      <c r="D10" s="37" t="s">
        <v>1087</v>
      </c>
      <c r="E10" s="84" t="n">
        <v>4</v>
      </c>
      <c r="F10" s="85" t="s">
        <v>1063</v>
      </c>
      <c r="G10" s="85" t="s">
        <v>1069</v>
      </c>
      <c r="H10" s="79" t="n">
        <v>950000000</v>
      </c>
      <c r="I10" s="86" t="n">
        <f aca="false">IF(G10="USD",가정!$B$5,IF(G10="EUR",가정!$B$6,1))</f>
        <v>1</v>
      </c>
      <c r="J10" s="72" t="n">
        <f aca="false">H10*I10</f>
        <v>950000000</v>
      </c>
      <c r="K10" s="72" t="n">
        <f aca="false">E10*J10</f>
        <v>3800000000</v>
      </c>
      <c r="L10" s="72" t="n">
        <f aca="false">IF(G10="KRW",K10*가정!$B$9,K10*가정!$B$7)</f>
        <v>38000000</v>
      </c>
      <c r="M10" s="72" t="n">
        <f aca="false">IF(G10="KRW",0,K10*가정!$B$8)</f>
        <v>0</v>
      </c>
      <c r="N10" s="72" t="n">
        <f aca="false">K10+L10+M10</f>
        <v>3838000000</v>
      </c>
      <c r="O10" s="10" t="s">
        <v>1088</v>
      </c>
    </row>
    <row r="11" customFormat="false" ht="15" hidden="false" customHeight="true" outlineLevel="0" collapsed="false">
      <c r="A11" s="35" t="n">
        <v>7</v>
      </c>
      <c r="B11" s="37" t="s">
        <v>1089</v>
      </c>
      <c r="C11" s="10" t="s">
        <v>1090</v>
      </c>
      <c r="D11" s="10" t="s">
        <v>1091</v>
      </c>
      <c r="E11" s="84" t="n">
        <v>420</v>
      </c>
      <c r="F11" s="85" t="s">
        <v>1092</v>
      </c>
      <c r="G11" s="85" t="s">
        <v>1069</v>
      </c>
      <c r="H11" s="79" t="n">
        <v>9500000</v>
      </c>
      <c r="I11" s="86" t="n">
        <f aca="false">IF(G11="USD",가정!$B$5,IF(G11="EUR",가정!$B$6,1))</f>
        <v>1</v>
      </c>
      <c r="J11" s="72" t="n">
        <f aca="false">H11*I11</f>
        <v>9500000</v>
      </c>
      <c r="K11" s="72" t="n">
        <f aca="false">E11*J11</f>
        <v>3990000000</v>
      </c>
      <c r="L11" s="72" t="n">
        <f aca="false">IF(G11="KRW",K11*가정!$B$9,K11*가정!$B$7)</f>
        <v>39900000</v>
      </c>
      <c r="M11" s="72" t="n">
        <f aca="false">IF(G11="KRW",0,K11*가정!$B$8)</f>
        <v>0</v>
      </c>
      <c r="N11" s="72" t="n">
        <f aca="false">K11+L11+M11</f>
        <v>4029900000</v>
      </c>
      <c r="O11" s="10" t="s">
        <v>1093</v>
      </c>
    </row>
    <row r="12" customFormat="false" ht="15" hidden="false" customHeight="true" outlineLevel="0" collapsed="false">
      <c r="A12" s="35" t="n">
        <v>8</v>
      </c>
      <c r="B12" s="37" t="s">
        <v>1089</v>
      </c>
      <c r="C12" s="10" t="s">
        <v>1094</v>
      </c>
      <c r="D12" s="37" t="s">
        <v>1095</v>
      </c>
      <c r="E12" s="84" t="n">
        <v>1</v>
      </c>
      <c r="F12" s="85" t="s">
        <v>1096</v>
      </c>
      <c r="G12" s="85" t="s">
        <v>1069</v>
      </c>
      <c r="H12" s="79" t="n">
        <v>1850000000</v>
      </c>
      <c r="I12" s="86" t="n">
        <f aca="false">IF(G12="USD",가정!$B$5,IF(G12="EUR",가정!$B$6,1))</f>
        <v>1</v>
      </c>
      <c r="J12" s="72" t="n">
        <f aca="false">H12*I12</f>
        <v>1850000000</v>
      </c>
      <c r="K12" s="72" t="n">
        <f aca="false">E12*J12</f>
        <v>1850000000</v>
      </c>
      <c r="L12" s="72" t="n">
        <f aca="false">IF(G12="KRW",K12*가정!$B$9,K12*가정!$B$7)</f>
        <v>18500000</v>
      </c>
      <c r="M12" s="72" t="n">
        <f aca="false">IF(G12="KRW",0,K12*가정!$B$8)</f>
        <v>0</v>
      </c>
      <c r="N12" s="72" t="n">
        <f aca="false">K12+L12+M12</f>
        <v>1868500000</v>
      </c>
      <c r="O12" s="10" t="s">
        <v>1097</v>
      </c>
    </row>
    <row r="13" customFormat="false" ht="15" hidden="false" customHeight="true" outlineLevel="0" collapsed="false">
      <c r="A13" s="35" t="n">
        <v>9</v>
      </c>
      <c r="B13" s="37" t="s">
        <v>1089</v>
      </c>
      <c r="C13" s="10" t="s">
        <v>1098</v>
      </c>
      <c r="D13" s="10" t="s">
        <v>1099</v>
      </c>
      <c r="E13" s="84" t="n">
        <v>1</v>
      </c>
      <c r="F13" s="85" t="s">
        <v>1096</v>
      </c>
      <c r="G13" s="85" t="s">
        <v>1069</v>
      </c>
      <c r="H13" s="79" t="n">
        <v>2650000000</v>
      </c>
      <c r="I13" s="86" t="n">
        <f aca="false">IF(G13="USD",가정!$B$5,IF(G13="EUR",가정!$B$6,1))</f>
        <v>1</v>
      </c>
      <c r="J13" s="72" t="n">
        <f aca="false">H13*I13</f>
        <v>2650000000</v>
      </c>
      <c r="K13" s="72" t="n">
        <f aca="false">E13*J13</f>
        <v>2650000000</v>
      </c>
      <c r="L13" s="72" t="n">
        <f aca="false">IF(G13="KRW",K13*가정!$B$9,K13*가정!$B$7)</f>
        <v>26500000</v>
      </c>
      <c r="M13" s="72" t="n">
        <f aca="false">IF(G13="KRW",0,K13*가정!$B$8)</f>
        <v>0</v>
      </c>
      <c r="N13" s="72" t="n">
        <f aca="false">K13+L13+M13</f>
        <v>2676500000</v>
      </c>
      <c r="O13" s="10" t="s">
        <v>1100</v>
      </c>
    </row>
    <row r="14" customFormat="false" ht="15" hidden="false" customHeight="true" outlineLevel="0" collapsed="false">
      <c r="A14" s="35" t="n">
        <v>10</v>
      </c>
      <c r="B14" s="37" t="s">
        <v>1089</v>
      </c>
      <c r="C14" s="10" t="s">
        <v>1101</v>
      </c>
      <c r="D14" s="10" t="s">
        <v>1102</v>
      </c>
      <c r="E14" s="84" t="n">
        <v>1</v>
      </c>
      <c r="F14" s="85" t="s">
        <v>1096</v>
      </c>
      <c r="G14" s="85" t="s">
        <v>1064</v>
      </c>
      <c r="H14" s="79" t="n">
        <v>1950000</v>
      </c>
      <c r="I14" s="86" t="n">
        <f aca="false">IF(G14="USD",가정!$B$5,IF(G14="EUR",가정!$B$6,1))</f>
        <v>1380</v>
      </c>
      <c r="J14" s="72" t="n">
        <f aca="false">H14*I14</f>
        <v>2691000000</v>
      </c>
      <c r="K14" s="72" t="n">
        <f aca="false">E14*J14</f>
        <v>2691000000</v>
      </c>
      <c r="L14" s="72" t="n">
        <f aca="false">IF(G14="KRW",K14*가정!$B$9,K14*가정!$B$7)</f>
        <v>107640000</v>
      </c>
      <c r="M14" s="72" t="n">
        <f aca="false">IF(G14="KRW",0,K14*가정!$B$8)</f>
        <v>80730000</v>
      </c>
      <c r="N14" s="72" t="n">
        <f aca="false">K14+L14+M14</f>
        <v>2879370000</v>
      </c>
      <c r="O14" s="10" t="s">
        <v>1103</v>
      </c>
    </row>
    <row r="15" customFormat="false" ht="15" hidden="false" customHeight="true" outlineLevel="0" collapsed="false">
      <c r="A15" s="35" t="n">
        <v>11</v>
      </c>
      <c r="B15" s="37" t="s">
        <v>1089</v>
      </c>
      <c r="C15" s="37" t="s">
        <v>1104</v>
      </c>
      <c r="D15" s="10" t="s">
        <v>1105</v>
      </c>
      <c r="E15" s="84" t="n">
        <v>1</v>
      </c>
      <c r="F15" s="85" t="s">
        <v>1083</v>
      </c>
      <c r="G15" s="85" t="s">
        <v>1064</v>
      </c>
      <c r="H15" s="79" t="n">
        <v>2300000</v>
      </c>
      <c r="I15" s="86" t="n">
        <f aca="false">IF(G15="USD",가정!$B$5,IF(G15="EUR",가정!$B$6,1))</f>
        <v>1380</v>
      </c>
      <c r="J15" s="72" t="n">
        <f aca="false">H15*I15</f>
        <v>3174000000</v>
      </c>
      <c r="K15" s="72" t="n">
        <f aca="false">E15*J15</f>
        <v>3174000000</v>
      </c>
      <c r="L15" s="72" t="n">
        <f aca="false">IF(G15="KRW",K15*가정!$B$9,K15*가정!$B$7)</f>
        <v>126960000</v>
      </c>
      <c r="M15" s="72" t="n">
        <f aca="false">IF(G15="KRW",0,K15*가정!$B$8)</f>
        <v>95220000</v>
      </c>
      <c r="N15" s="72" t="n">
        <f aca="false">K15+L15+M15</f>
        <v>3396180000</v>
      </c>
      <c r="O15" s="10" t="s">
        <v>1106</v>
      </c>
    </row>
    <row r="16" customFormat="false" ht="15" hidden="false" customHeight="true" outlineLevel="0" collapsed="false">
      <c r="A16" s="35" t="n">
        <v>12</v>
      </c>
      <c r="B16" s="37" t="s">
        <v>1089</v>
      </c>
      <c r="C16" s="37" t="s">
        <v>1107</v>
      </c>
      <c r="D16" s="10" t="s">
        <v>1108</v>
      </c>
      <c r="E16" s="84" t="n">
        <v>1</v>
      </c>
      <c r="F16" s="85" t="s">
        <v>1096</v>
      </c>
      <c r="G16" s="85" t="s">
        <v>1069</v>
      </c>
      <c r="H16" s="79" t="n">
        <v>420000000</v>
      </c>
      <c r="I16" s="86" t="n">
        <f aca="false">IF(G16="USD",가정!$B$5,IF(G16="EUR",가정!$B$6,1))</f>
        <v>1</v>
      </c>
      <c r="J16" s="72" t="n">
        <f aca="false">H16*I16</f>
        <v>420000000</v>
      </c>
      <c r="K16" s="72" t="n">
        <f aca="false">E16*J16</f>
        <v>420000000</v>
      </c>
      <c r="L16" s="72" t="n">
        <f aca="false">IF(G16="KRW",K16*가정!$B$9,K16*가정!$B$7)</f>
        <v>4200000</v>
      </c>
      <c r="M16" s="72" t="n">
        <f aca="false">IF(G16="KRW",0,K16*가정!$B$8)</f>
        <v>0</v>
      </c>
      <c r="N16" s="72" t="n">
        <f aca="false">K16+L16+M16</f>
        <v>424200000</v>
      </c>
      <c r="O16" s="10" t="s">
        <v>1109</v>
      </c>
    </row>
    <row r="17" customFormat="false" ht="15" hidden="false" customHeight="true" outlineLevel="0" collapsed="false">
      <c r="A17" s="82"/>
      <c r="B17" s="82"/>
      <c r="C17" s="82" t="s">
        <v>1110</v>
      </c>
      <c r="D17" s="82"/>
      <c r="E17" s="82"/>
      <c r="F17" s="82"/>
      <c r="G17" s="82"/>
      <c r="H17" s="82"/>
      <c r="I17" s="82"/>
      <c r="J17" s="82"/>
      <c r="K17" s="73" t="n">
        <f aca="false">SUM(K5:K16)</f>
        <v>35246000000</v>
      </c>
      <c r="L17" s="73" t="n">
        <f aca="false">SUM(L5:L16)</f>
        <v>888140000</v>
      </c>
      <c r="M17" s="73" t="n">
        <f aca="false">SUM(M5:M16)</f>
        <v>535680000</v>
      </c>
      <c r="N17" s="73" t="n">
        <f aca="false">SUM(N5:N16)</f>
        <v>36669820000</v>
      </c>
      <c r="O17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8" min="6" style="1" width="13"/>
    <col collapsed="false" customWidth="true" hidden="false" outlineLevel="0" max="11" min="9" style="1" width="16"/>
    <col collapsed="false" customWidth="true" hidden="false" outlineLevel="0" max="12" min="12" style="1" width="17"/>
  </cols>
  <sheetData>
    <row r="1" customFormat="false" ht="23.25" hidden="false" customHeight="true" outlineLevel="0" collapsed="false">
      <c r="A1" s="14" t="s">
        <v>1111</v>
      </c>
    </row>
    <row r="2" customFormat="false" ht="15" hidden="false" customHeight="true" outlineLevel="0" collapsed="false">
      <c r="A2" s="16" t="s">
        <v>1112</v>
      </c>
    </row>
    <row r="3" customFormat="false" ht="15" hidden="false" customHeight="true" outlineLevel="0" collapsed="false">
      <c r="A3" s="19" t="s">
        <v>1016</v>
      </c>
    </row>
    <row r="4" customFormat="false" ht="30" hidden="false" customHeight="true" outlineLevel="0" collapsed="false">
      <c r="A4" s="23" t="s">
        <v>48</v>
      </c>
      <c r="B4" s="24" t="s">
        <v>1113</v>
      </c>
      <c r="C4" s="24" t="s">
        <v>1114</v>
      </c>
      <c r="D4" s="24" t="s">
        <v>664</v>
      </c>
      <c r="E4" s="24" t="s">
        <v>1050</v>
      </c>
      <c r="F4" s="24" t="s">
        <v>1115</v>
      </c>
      <c r="G4" s="24" t="s">
        <v>1116</v>
      </c>
      <c r="H4" s="24" t="s">
        <v>1117</v>
      </c>
      <c r="I4" s="24" t="s">
        <v>1118</v>
      </c>
      <c r="J4" s="24" t="s">
        <v>1119</v>
      </c>
      <c r="K4" s="24" t="s">
        <v>1120</v>
      </c>
      <c r="L4" s="24" t="s">
        <v>1058</v>
      </c>
    </row>
    <row r="5" customFormat="false" ht="15" hidden="false" customHeight="true" outlineLevel="0" collapsed="false">
      <c r="A5" s="35" t="n">
        <v>1</v>
      </c>
      <c r="B5" s="10" t="s">
        <v>1121</v>
      </c>
      <c r="C5" s="10" t="s">
        <v>1122</v>
      </c>
      <c r="D5" s="85" t="s">
        <v>1123</v>
      </c>
      <c r="E5" s="79" t="n">
        <v>18000</v>
      </c>
      <c r="F5" s="80" t="n">
        <v>0</v>
      </c>
      <c r="G5" s="80" t="n">
        <v>8500</v>
      </c>
      <c r="H5" s="80" t="n">
        <v>6500</v>
      </c>
      <c r="I5" s="72" t="n">
        <f aca="false">E5*F5</f>
        <v>0</v>
      </c>
      <c r="J5" s="72" t="n">
        <f aca="false">E5*G5</f>
        <v>153000000</v>
      </c>
      <c r="K5" s="72" t="n">
        <f aca="false">E5*H5</f>
        <v>117000000</v>
      </c>
      <c r="L5" s="72" t="n">
        <f aca="false">I5+J5+K5</f>
        <v>270000000</v>
      </c>
    </row>
    <row r="6" customFormat="false" ht="15" hidden="false" customHeight="true" outlineLevel="0" collapsed="false">
      <c r="A6" s="35" t="n">
        <v>2</v>
      </c>
      <c r="B6" s="10" t="s">
        <v>1121</v>
      </c>
      <c r="C6" s="10" t="s">
        <v>1124</v>
      </c>
      <c r="D6" s="85" t="s">
        <v>1123</v>
      </c>
      <c r="E6" s="79" t="n">
        <v>6500</v>
      </c>
      <c r="F6" s="80" t="n">
        <v>210000</v>
      </c>
      <c r="G6" s="80" t="n">
        <v>180000</v>
      </c>
      <c r="H6" s="80" t="n">
        <v>45000</v>
      </c>
      <c r="I6" s="72" t="n">
        <f aca="false">E6*F6</f>
        <v>1365000000</v>
      </c>
      <c r="J6" s="72" t="n">
        <f aca="false">E6*G6</f>
        <v>1170000000</v>
      </c>
      <c r="K6" s="72" t="n">
        <f aca="false">E6*H6</f>
        <v>292500000</v>
      </c>
      <c r="L6" s="72" t="n">
        <f aca="false">I6+J6+K6</f>
        <v>2827500000</v>
      </c>
    </row>
    <row r="7" customFormat="false" ht="15" hidden="false" customHeight="true" outlineLevel="0" collapsed="false">
      <c r="A7" s="35" t="n">
        <v>3</v>
      </c>
      <c r="B7" s="10" t="s">
        <v>1121</v>
      </c>
      <c r="C7" s="10" t="s">
        <v>1125</v>
      </c>
      <c r="D7" s="85" t="s">
        <v>1063</v>
      </c>
      <c r="E7" s="79" t="n">
        <v>1200</v>
      </c>
      <c r="F7" s="80" t="n">
        <v>420000</v>
      </c>
      <c r="G7" s="80" t="n">
        <v>150000</v>
      </c>
      <c r="H7" s="80" t="n">
        <v>90000</v>
      </c>
      <c r="I7" s="72" t="n">
        <f aca="false">E7*F7</f>
        <v>504000000</v>
      </c>
      <c r="J7" s="72" t="n">
        <f aca="false">E7*G7</f>
        <v>180000000</v>
      </c>
      <c r="K7" s="72" t="n">
        <f aca="false">E7*H7</f>
        <v>108000000</v>
      </c>
      <c r="L7" s="72" t="n">
        <f aca="false">I7+J7+K7</f>
        <v>792000000</v>
      </c>
    </row>
    <row r="8" customFormat="false" ht="15" hidden="false" customHeight="true" outlineLevel="0" collapsed="false">
      <c r="A8" s="35" t="n">
        <v>4</v>
      </c>
      <c r="B8" s="10" t="s">
        <v>1126</v>
      </c>
      <c r="C8" s="10" t="s">
        <v>1127</v>
      </c>
      <c r="D8" s="85" t="s">
        <v>1128</v>
      </c>
      <c r="E8" s="79" t="n">
        <v>1800</v>
      </c>
      <c r="F8" s="80" t="n">
        <v>950000</v>
      </c>
      <c r="G8" s="80" t="n">
        <v>680000</v>
      </c>
      <c r="H8" s="80" t="n">
        <v>120000</v>
      </c>
      <c r="I8" s="72" t="n">
        <f aca="false">E8*F8</f>
        <v>1710000000</v>
      </c>
      <c r="J8" s="72" t="n">
        <f aca="false">E8*G8</f>
        <v>1224000000</v>
      </c>
      <c r="K8" s="72" t="n">
        <f aca="false">E8*H8</f>
        <v>216000000</v>
      </c>
      <c r="L8" s="72" t="n">
        <f aca="false">I8+J8+K8</f>
        <v>3150000000</v>
      </c>
    </row>
    <row r="9" customFormat="false" ht="15" hidden="false" customHeight="true" outlineLevel="0" collapsed="false">
      <c r="A9" s="35" t="n">
        <v>5</v>
      </c>
      <c r="B9" s="10" t="s">
        <v>1129</v>
      </c>
      <c r="C9" s="10" t="s">
        <v>1130</v>
      </c>
      <c r="D9" s="85" t="s">
        <v>1092</v>
      </c>
      <c r="E9" s="79" t="n">
        <v>1450</v>
      </c>
      <c r="F9" s="80" t="n">
        <v>1650000</v>
      </c>
      <c r="G9" s="80" t="n">
        <v>950000</v>
      </c>
      <c r="H9" s="80" t="n">
        <v>250000</v>
      </c>
      <c r="I9" s="72" t="n">
        <f aca="false">E9*F9</f>
        <v>2392500000</v>
      </c>
      <c r="J9" s="72" t="n">
        <f aca="false">E9*G9</f>
        <v>1377500000</v>
      </c>
      <c r="K9" s="72" t="n">
        <f aca="false">E9*H9</f>
        <v>362500000</v>
      </c>
      <c r="L9" s="72" t="n">
        <f aca="false">I9+J9+K9</f>
        <v>4132500000</v>
      </c>
    </row>
    <row r="10" customFormat="false" ht="15" hidden="false" customHeight="true" outlineLevel="0" collapsed="false">
      <c r="A10" s="35" t="n">
        <v>6</v>
      </c>
      <c r="B10" s="10" t="s">
        <v>1131</v>
      </c>
      <c r="C10" s="10" t="s">
        <v>1132</v>
      </c>
      <c r="D10" s="85" t="s">
        <v>1092</v>
      </c>
      <c r="E10" s="79" t="n">
        <v>2600</v>
      </c>
      <c r="F10" s="80" t="n">
        <v>0</v>
      </c>
      <c r="G10" s="80" t="n">
        <v>780000</v>
      </c>
      <c r="H10" s="80" t="n">
        <v>420000</v>
      </c>
      <c r="I10" s="72" t="n">
        <f aca="false">E10*F10</f>
        <v>0</v>
      </c>
      <c r="J10" s="72" t="n">
        <f aca="false">E10*G10</f>
        <v>2028000000</v>
      </c>
      <c r="K10" s="72" t="n">
        <f aca="false">E10*H10</f>
        <v>1092000000</v>
      </c>
      <c r="L10" s="72" t="n">
        <f aca="false">I10+J10+K10</f>
        <v>3120000000</v>
      </c>
    </row>
    <row r="11" customFormat="false" ht="15" hidden="false" customHeight="true" outlineLevel="0" collapsed="false">
      <c r="A11" s="35" t="n">
        <v>7</v>
      </c>
      <c r="B11" s="10" t="s">
        <v>1133</v>
      </c>
      <c r="C11" s="10" t="s">
        <v>1134</v>
      </c>
      <c r="D11" s="85" t="s">
        <v>1135</v>
      </c>
      <c r="E11" s="79" t="n">
        <v>98000</v>
      </c>
      <c r="F11" s="80" t="n">
        <v>8000</v>
      </c>
      <c r="G11" s="80" t="n">
        <v>52000</v>
      </c>
      <c r="H11" s="80" t="n">
        <v>9000</v>
      </c>
      <c r="I11" s="72" t="n">
        <f aca="false">E11*F11</f>
        <v>784000000</v>
      </c>
      <c r="J11" s="72" t="n">
        <f aca="false">E11*G11</f>
        <v>5096000000</v>
      </c>
      <c r="K11" s="72" t="n">
        <f aca="false">E11*H11</f>
        <v>882000000</v>
      </c>
      <c r="L11" s="72" t="n">
        <f aca="false">I11+J11+K11</f>
        <v>6762000000</v>
      </c>
    </row>
    <row r="12" customFormat="false" ht="15" hidden="false" customHeight="true" outlineLevel="0" collapsed="false">
      <c r="A12" s="35" t="n">
        <v>8</v>
      </c>
      <c r="B12" s="10" t="s">
        <v>1133</v>
      </c>
      <c r="C12" s="10" t="s">
        <v>1136</v>
      </c>
      <c r="D12" s="85" t="s">
        <v>1096</v>
      </c>
      <c r="E12" s="79" t="n">
        <v>1</v>
      </c>
      <c r="F12" s="80" t="n">
        <v>25000000</v>
      </c>
      <c r="G12" s="80" t="n">
        <v>140000000</v>
      </c>
      <c r="H12" s="80" t="n">
        <v>35000000</v>
      </c>
      <c r="I12" s="72" t="n">
        <f aca="false">E12*F12</f>
        <v>25000000</v>
      </c>
      <c r="J12" s="72" t="n">
        <f aca="false">E12*G12</f>
        <v>140000000</v>
      </c>
      <c r="K12" s="72" t="n">
        <f aca="false">E12*H12</f>
        <v>35000000</v>
      </c>
      <c r="L12" s="72" t="n">
        <f aca="false">I12+J12+K12</f>
        <v>200000000</v>
      </c>
    </row>
    <row r="13" customFormat="false" ht="15" hidden="false" customHeight="true" outlineLevel="0" collapsed="false">
      <c r="A13" s="35" t="n">
        <v>9</v>
      </c>
      <c r="B13" s="10" t="s">
        <v>1137</v>
      </c>
      <c r="C13" s="10" t="s">
        <v>1138</v>
      </c>
      <c r="D13" s="85" t="s">
        <v>1139</v>
      </c>
      <c r="E13" s="79" t="n">
        <v>165000</v>
      </c>
      <c r="F13" s="80" t="n">
        <v>1200</v>
      </c>
      <c r="G13" s="80" t="n">
        <v>6500</v>
      </c>
      <c r="H13" s="80" t="n">
        <v>800</v>
      </c>
      <c r="I13" s="72" t="n">
        <f aca="false">E13*F13</f>
        <v>198000000</v>
      </c>
      <c r="J13" s="72" t="n">
        <f aca="false">E13*G13</f>
        <v>1072500000</v>
      </c>
      <c r="K13" s="72" t="n">
        <f aca="false">E13*H13</f>
        <v>132000000</v>
      </c>
      <c r="L13" s="72" t="n">
        <f aca="false">I13+J13+K13</f>
        <v>1402500000</v>
      </c>
    </row>
    <row r="14" customFormat="false" ht="15" hidden="false" customHeight="true" outlineLevel="0" collapsed="false">
      <c r="A14" s="35" t="n">
        <v>10</v>
      </c>
      <c r="B14" s="10" t="s">
        <v>1140</v>
      </c>
      <c r="C14" s="10" t="s">
        <v>1141</v>
      </c>
      <c r="D14" s="85" t="s">
        <v>1142</v>
      </c>
      <c r="E14" s="79" t="n">
        <v>2400</v>
      </c>
      <c r="F14" s="80" t="n">
        <v>85000</v>
      </c>
      <c r="G14" s="80" t="n">
        <v>420000</v>
      </c>
      <c r="H14" s="80" t="n">
        <v>60000</v>
      </c>
      <c r="I14" s="72" t="n">
        <f aca="false">E14*F14</f>
        <v>204000000</v>
      </c>
      <c r="J14" s="72" t="n">
        <f aca="false">E14*G14</f>
        <v>1008000000</v>
      </c>
      <c r="K14" s="72" t="n">
        <f aca="false">E14*H14</f>
        <v>144000000</v>
      </c>
      <c r="L14" s="72" t="n">
        <f aca="false">I14+J14+K14</f>
        <v>1356000000</v>
      </c>
    </row>
    <row r="15" customFormat="false" ht="15" hidden="false" customHeight="true" outlineLevel="0" collapsed="false">
      <c r="A15" s="35" t="n">
        <v>11</v>
      </c>
      <c r="B15" s="10" t="s">
        <v>632</v>
      </c>
      <c r="C15" s="10" t="s">
        <v>1143</v>
      </c>
      <c r="D15" s="85" t="s">
        <v>1128</v>
      </c>
      <c r="E15" s="79" t="n">
        <v>42000</v>
      </c>
      <c r="F15" s="80" t="n">
        <v>9500</v>
      </c>
      <c r="G15" s="80" t="n">
        <v>14000</v>
      </c>
      <c r="H15" s="80" t="n">
        <v>2500</v>
      </c>
      <c r="I15" s="72" t="n">
        <f aca="false">E15*F15</f>
        <v>399000000</v>
      </c>
      <c r="J15" s="72" t="n">
        <f aca="false">E15*G15</f>
        <v>588000000</v>
      </c>
      <c r="K15" s="72" t="n">
        <f aca="false">E15*H15</f>
        <v>105000000</v>
      </c>
      <c r="L15" s="72" t="n">
        <f aca="false">I15+J15+K15</f>
        <v>1092000000</v>
      </c>
    </row>
    <row r="16" customFormat="false" ht="15" hidden="false" customHeight="true" outlineLevel="0" collapsed="false">
      <c r="A16" s="35" t="n">
        <v>12</v>
      </c>
      <c r="B16" s="10" t="s">
        <v>640</v>
      </c>
      <c r="C16" s="10" t="s">
        <v>1144</v>
      </c>
      <c r="D16" s="85" t="s">
        <v>1128</v>
      </c>
      <c r="E16" s="79" t="n">
        <v>15000</v>
      </c>
      <c r="F16" s="80" t="n">
        <v>38000</v>
      </c>
      <c r="G16" s="80" t="n">
        <v>42000</v>
      </c>
      <c r="H16" s="80" t="n">
        <v>4000</v>
      </c>
      <c r="I16" s="72" t="n">
        <f aca="false">E16*F16</f>
        <v>570000000</v>
      </c>
      <c r="J16" s="72" t="n">
        <f aca="false">E16*G16</f>
        <v>630000000</v>
      </c>
      <c r="K16" s="72" t="n">
        <f aca="false">E16*H16</f>
        <v>60000000</v>
      </c>
      <c r="L16" s="72" t="n">
        <f aca="false">I16+J16+K16</f>
        <v>1260000000</v>
      </c>
    </row>
    <row r="17" customFormat="false" ht="15" hidden="false" customHeight="true" outlineLevel="0" collapsed="false">
      <c r="A17" s="35" t="n">
        <v>13</v>
      </c>
      <c r="B17" s="10" t="s">
        <v>425</v>
      </c>
      <c r="C17" s="37" t="s">
        <v>1145</v>
      </c>
      <c r="D17" s="85" t="s">
        <v>1146</v>
      </c>
      <c r="E17" s="79" t="n">
        <v>1</v>
      </c>
      <c r="F17" s="80" t="n">
        <v>150000000</v>
      </c>
      <c r="G17" s="80" t="n">
        <v>650000000</v>
      </c>
      <c r="H17" s="80" t="n">
        <v>220000000</v>
      </c>
      <c r="I17" s="72" t="n">
        <f aca="false">E17*F17</f>
        <v>150000000</v>
      </c>
      <c r="J17" s="72" t="n">
        <f aca="false">E17*G17</f>
        <v>650000000</v>
      </c>
      <c r="K17" s="72" t="n">
        <f aca="false">E17*H17</f>
        <v>220000000</v>
      </c>
      <c r="L17" s="72" t="n">
        <f aca="false">I17+J17+K17</f>
        <v>1020000000</v>
      </c>
    </row>
    <row r="18" customFormat="false" ht="15" hidden="false" customHeight="true" outlineLevel="0" collapsed="false">
      <c r="A18" s="82"/>
      <c r="B18" s="82"/>
      <c r="C18" s="82" t="s">
        <v>1147</v>
      </c>
      <c r="D18" s="82"/>
      <c r="E18" s="82"/>
      <c r="F18" s="82"/>
      <c r="G18" s="82"/>
      <c r="H18" s="82"/>
      <c r="I18" s="73" t="n">
        <f aca="false">SUM(I5:I17)</f>
        <v>8301500000</v>
      </c>
      <c r="J18" s="73" t="n">
        <f aca="false">SUM(J5:J17)</f>
        <v>15317000000</v>
      </c>
      <c r="K18" s="73" t="n">
        <f aca="false">SUM(K5:K17)</f>
        <v>3766000000</v>
      </c>
      <c r="L18" s="73" t="n">
        <f aca="false">SUM(L5:L17)</f>
        <v>27384500000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36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5"/>
    <col collapsed="false" customWidth="true" hidden="false" outlineLevel="0" max="8" min="8" style="1" width="17"/>
  </cols>
  <sheetData>
    <row r="1" customFormat="false" ht="23.25" hidden="false" customHeight="true" outlineLevel="0" collapsed="false">
      <c r="A1" s="39" t="s">
        <v>1148</v>
      </c>
    </row>
    <row r="2" customFormat="false" ht="15" hidden="false" customHeight="true" outlineLevel="0" collapsed="false">
      <c r="A2" s="16" t="s">
        <v>1149</v>
      </c>
    </row>
    <row r="3" customFormat="false" ht="15" hidden="false" customHeight="true" outlineLevel="0" collapsed="false">
      <c r="A3" s="19" t="s">
        <v>1016</v>
      </c>
    </row>
    <row r="4" customFormat="false" ht="30" hidden="false" customHeight="true" outlineLevel="0" collapsed="false">
      <c r="A4" s="23" t="s">
        <v>48</v>
      </c>
      <c r="B4" s="24" t="s">
        <v>662</v>
      </c>
      <c r="C4" s="24" t="s">
        <v>1150</v>
      </c>
      <c r="D4" s="24" t="s">
        <v>1050</v>
      </c>
      <c r="E4" s="24" t="s">
        <v>664</v>
      </c>
      <c r="F4" s="24" t="s">
        <v>1151</v>
      </c>
      <c r="G4" s="24" t="s">
        <v>1152</v>
      </c>
      <c r="H4" s="24" t="s">
        <v>960</v>
      </c>
    </row>
    <row r="5" customFormat="false" ht="15" hidden="false" customHeight="true" outlineLevel="0" collapsed="false">
      <c r="A5" s="35" t="n">
        <v>1</v>
      </c>
      <c r="B5" s="10" t="s">
        <v>1153</v>
      </c>
      <c r="C5" s="10" t="s">
        <v>1154</v>
      </c>
      <c r="D5" s="79" t="n">
        <v>35</v>
      </c>
      <c r="E5" s="87" t="s">
        <v>1155</v>
      </c>
      <c r="F5" s="79" t="n">
        <v>24</v>
      </c>
      <c r="G5" s="80" t="n">
        <v>9500000</v>
      </c>
      <c r="H5" s="72" t="n">
        <f aca="false">D5*F5*G5</f>
        <v>7980000000</v>
      </c>
    </row>
    <row r="6" customFormat="false" ht="15" hidden="false" customHeight="true" outlineLevel="0" collapsed="false">
      <c r="A6" s="35" t="n">
        <v>2</v>
      </c>
      <c r="B6" s="10" t="s">
        <v>1156</v>
      </c>
      <c r="C6" s="10" t="s">
        <v>1157</v>
      </c>
      <c r="D6" s="79" t="n">
        <v>1</v>
      </c>
      <c r="E6" s="87" t="s">
        <v>1158</v>
      </c>
      <c r="F6" s="79" t="n">
        <v>24</v>
      </c>
      <c r="G6" s="80" t="n">
        <v>85000000</v>
      </c>
      <c r="H6" s="72" t="n">
        <f aca="false">D6*F6*G6</f>
        <v>2040000000</v>
      </c>
    </row>
    <row r="7" customFormat="false" ht="15" hidden="false" customHeight="true" outlineLevel="0" collapsed="false">
      <c r="A7" s="35" t="n">
        <v>3</v>
      </c>
      <c r="B7" s="10" t="s">
        <v>1159</v>
      </c>
      <c r="C7" s="10" t="s">
        <v>1160</v>
      </c>
      <c r="D7" s="79" t="n">
        <v>1</v>
      </c>
      <c r="E7" s="87" t="s">
        <v>1158</v>
      </c>
      <c r="F7" s="79" t="n">
        <v>24</v>
      </c>
      <c r="G7" s="80" t="n">
        <v>32000000</v>
      </c>
      <c r="H7" s="72" t="n">
        <f aca="false">D7*F7*G7</f>
        <v>768000000</v>
      </c>
    </row>
    <row r="8" customFormat="false" ht="15" hidden="false" customHeight="true" outlineLevel="0" collapsed="false">
      <c r="A8" s="35" t="n">
        <v>4</v>
      </c>
      <c r="B8" s="10" t="s">
        <v>1161</v>
      </c>
      <c r="C8" s="37" t="s">
        <v>1162</v>
      </c>
      <c r="D8" s="79" t="n">
        <v>1</v>
      </c>
      <c r="E8" s="87" t="s">
        <v>1158</v>
      </c>
      <c r="F8" s="79" t="n">
        <v>18</v>
      </c>
      <c r="G8" s="80" t="n">
        <v>210000000</v>
      </c>
      <c r="H8" s="72" t="n">
        <f aca="false">D8*F8*G8</f>
        <v>3780000000</v>
      </c>
    </row>
    <row r="9" customFormat="false" ht="15" hidden="false" customHeight="true" outlineLevel="0" collapsed="false">
      <c r="A9" s="35" t="n">
        <v>5</v>
      </c>
      <c r="B9" s="10" t="s">
        <v>1163</v>
      </c>
      <c r="C9" s="10" t="s">
        <v>1164</v>
      </c>
      <c r="D9" s="79" t="n">
        <v>1</v>
      </c>
      <c r="E9" s="87" t="s">
        <v>1158</v>
      </c>
      <c r="F9" s="79" t="n">
        <v>24</v>
      </c>
      <c r="G9" s="80" t="n">
        <v>45000000</v>
      </c>
      <c r="H9" s="72" t="n">
        <f aca="false">D9*F9*G9</f>
        <v>1080000000</v>
      </c>
    </row>
    <row r="10" customFormat="false" ht="15" hidden="false" customHeight="true" outlineLevel="0" collapsed="false">
      <c r="A10" s="35" t="n">
        <v>6</v>
      </c>
      <c r="B10" s="10" t="s">
        <v>1165</v>
      </c>
      <c r="C10" s="37" t="s">
        <v>1166</v>
      </c>
      <c r="D10" s="79" t="n">
        <v>1</v>
      </c>
      <c r="E10" s="87" t="s">
        <v>1158</v>
      </c>
      <c r="F10" s="79" t="n">
        <v>1</v>
      </c>
      <c r="G10" s="80" t="n">
        <v>850000000</v>
      </c>
      <c r="H10" s="72" t="n">
        <f aca="false">D10*F10*G10</f>
        <v>850000000</v>
      </c>
    </row>
    <row r="11" customFormat="false" ht="15" hidden="false" customHeight="true" outlineLevel="0" collapsed="false">
      <c r="A11" s="35" t="n">
        <v>7</v>
      </c>
      <c r="B11" s="10" t="s">
        <v>1167</v>
      </c>
      <c r="C11" s="10" t="s">
        <v>1168</v>
      </c>
      <c r="D11" s="88"/>
      <c r="E11" s="22" t="s">
        <v>1169</v>
      </c>
      <c r="F11" s="88"/>
      <c r="G11" s="89" t="n">
        <f aca="false">가정!$B$10</f>
        <v>0.0237</v>
      </c>
      <c r="H11" s="72" t="n">
        <f aca="false">C_시공!L18*G11</f>
        <v>649012650</v>
      </c>
    </row>
    <row r="12" customFormat="false" ht="15" hidden="false" customHeight="true" outlineLevel="0" collapsed="false">
      <c r="A12" s="35" t="n">
        <v>8</v>
      </c>
      <c r="B12" s="10" t="s">
        <v>1170</v>
      </c>
      <c r="C12" s="37" t="s">
        <v>1171</v>
      </c>
      <c r="D12" s="88"/>
      <c r="E12" s="22" t="s">
        <v>1169</v>
      </c>
      <c r="F12" s="88"/>
      <c r="G12" s="89" t="n">
        <f aca="false">가정!$B$11</f>
        <v>0.003</v>
      </c>
      <c r="H12" s="72" t="n">
        <f aca="false">(E_설계!F14+P_기자재!N17+C_시공!L18)*G12</f>
        <v>210425460</v>
      </c>
    </row>
    <row r="13" customFormat="false" ht="15" hidden="false" customHeight="true" outlineLevel="0" collapsed="false">
      <c r="A13" s="35" t="n">
        <v>9</v>
      </c>
      <c r="B13" s="10" t="s">
        <v>1172</v>
      </c>
      <c r="C13" s="37" t="s">
        <v>1171</v>
      </c>
      <c r="D13" s="88"/>
      <c r="E13" s="22" t="s">
        <v>1169</v>
      </c>
      <c r="F13" s="88"/>
      <c r="G13" s="89" t="n">
        <f aca="false">가정!$B$12</f>
        <v>0.002</v>
      </c>
      <c r="H13" s="72" t="n">
        <f aca="false">(E_설계!F14+P_기자재!N17+C_시공!L18)*G13</f>
        <v>140283640</v>
      </c>
    </row>
    <row r="14" customFormat="false" ht="15" hidden="false" customHeight="true" outlineLevel="0" collapsed="false">
      <c r="A14" s="82"/>
      <c r="B14" s="82" t="s">
        <v>1173</v>
      </c>
      <c r="C14" s="82"/>
      <c r="D14" s="82"/>
      <c r="E14" s="82"/>
      <c r="F14" s="82"/>
      <c r="G14" s="82"/>
      <c r="H14" s="73" t="n">
        <f aca="false">SUM(H5:H13)</f>
        <v>17497721750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90"/>
    <col collapsed="false" customWidth="true" hidden="false" outlineLevel="0" max="4" min="4" style="1" width="60"/>
  </cols>
  <sheetData>
    <row r="1" customFormat="false" ht="23.25" hidden="false" customHeight="true" outlineLevel="0" collapsed="false">
      <c r="A1" s="39" t="s">
        <v>1174</v>
      </c>
    </row>
    <row r="2" customFormat="false" ht="15" hidden="false" customHeight="true" outlineLevel="0" collapsed="false">
      <c r="A2" s="16" t="s">
        <v>1175</v>
      </c>
    </row>
    <row r="4" customFormat="false" ht="30" hidden="false" customHeight="true" outlineLevel="0" collapsed="false">
      <c r="A4" s="23" t="s">
        <v>48</v>
      </c>
      <c r="B4" s="24" t="s">
        <v>49</v>
      </c>
      <c r="C4" s="24" t="s">
        <v>1176</v>
      </c>
      <c r="D4" s="24" t="s">
        <v>1177</v>
      </c>
    </row>
    <row r="5" customFormat="false" ht="15" hidden="false" customHeight="true" outlineLevel="0" collapsed="false">
      <c r="A5" s="35" t="n">
        <v>1</v>
      </c>
      <c r="B5" s="90" t="s">
        <v>1178</v>
      </c>
      <c r="C5" s="11" t="s">
        <v>1179</v>
      </c>
      <c r="D5" s="33" t="s">
        <v>1180</v>
      </c>
    </row>
    <row r="6" customFormat="false" ht="15" hidden="false" customHeight="true" outlineLevel="0" collapsed="false">
      <c r="A6" s="35" t="n">
        <v>2</v>
      </c>
      <c r="B6" s="90" t="s">
        <v>1178</v>
      </c>
      <c r="C6" s="11" t="s">
        <v>1181</v>
      </c>
      <c r="D6" s="33" t="s">
        <v>1180</v>
      </c>
    </row>
    <row r="7" customFormat="false" ht="15" hidden="false" customHeight="true" outlineLevel="0" collapsed="false">
      <c r="A7" s="35" t="n">
        <v>3</v>
      </c>
      <c r="B7" s="90" t="s">
        <v>1178</v>
      </c>
      <c r="C7" s="11" t="s">
        <v>1182</v>
      </c>
      <c r="D7" s="33" t="s">
        <v>1180</v>
      </c>
    </row>
    <row r="8" customFormat="false" ht="15" hidden="false" customHeight="true" outlineLevel="0" collapsed="false">
      <c r="A8" s="35" t="n">
        <v>4</v>
      </c>
      <c r="B8" s="90" t="s">
        <v>1178</v>
      </c>
      <c r="C8" s="11" t="s">
        <v>1183</v>
      </c>
      <c r="D8" s="33" t="s">
        <v>1180</v>
      </c>
    </row>
    <row r="9" customFormat="false" ht="15" hidden="false" customHeight="true" outlineLevel="0" collapsed="false">
      <c r="A9" s="35" t="n">
        <v>5</v>
      </c>
      <c r="B9" s="90" t="s">
        <v>1178</v>
      </c>
      <c r="C9" s="11" t="s">
        <v>1184</v>
      </c>
      <c r="D9" s="33" t="s">
        <v>1180</v>
      </c>
    </row>
    <row r="10" customFormat="false" ht="15" hidden="false" customHeight="true" outlineLevel="0" collapsed="false">
      <c r="A10" s="35" t="n">
        <v>6</v>
      </c>
      <c r="B10" s="90" t="s">
        <v>1185</v>
      </c>
      <c r="C10" s="11" t="s">
        <v>1186</v>
      </c>
      <c r="D10" s="33" t="s">
        <v>1180</v>
      </c>
    </row>
    <row r="11" customFormat="false" ht="15" hidden="false" customHeight="true" outlineLevel="0" collapsed="false">
      <c r="A11" s="35" t="n">
        <v>7</v>
      </c>
      <c r="B11" s="90" t="s">
        <v>1185</v>
      </c>
      <c r="C11" s="11" t="s">
        <v>1187</v>
      </c>
      <c r="D11" s="33" t="s">
        <v>1180</v>
      </c>
    </row>
    <row r="12" customFormat="false" ht="15" hidden="false" customHeight="true" outlineLevel="0" collapsed="false">
      <c r="A12" s="35" t="n">
        <v>8</v>
      </c>
      <c r="B12" s="90" t="s">
        <v>1185</v>
      </c>
      <c r="C12" s="91" t="s">
        <v>1188</v>
      </c>
      <c r="D12" s="33" t="s">
        <v>1180</v>
      </c>
    </row>
    <row r="13" customFormat="false" ht="15" hidden="false" customHeight="true" outlineLevel="0" collapsed="false">
      <c r="A13" s="35" t="n">
        <v>9</v>
      </c>
      <c r="B13" s="90" t="s">
        <v>1185</v>
      </c>
      <c r="C13" s="11" t="s">
        <v>1189</v>
      </c>
      <c r="D13" s="33" t="s">
        <v>1180</v>
      </c>
    </row>
    <row r="14" customFormat="false" ht="15" hidden="false" customHeight="true" outlineLevel="0" collapsed="false">
      <c r="A14" s="35" t="n">
        <v>10</v>
      </c>
      <c r="B14" s="90" t="s">
        <v>1190</v>
      </c>
      <c r="C14" s="11" t="s">
        <v>1191</v>
      </c>
      <c r="D14" s="38" t="s">
        <v>1192</v>
      </c>
    </row>
    <row r="15" customFormat="false" ht="15" hidden="false" customHeight="true" outlineLevel="0" collapsed="false">
      <c r="A15" s="35" t="n">
        <v>11</v>
      </c>
      <c r="B15" s="90" t="s">
        <v>1190</v>
      </c>
      <c r="C15" s="11" t="s">
        <v>1193</v>
      </c>
      <c r="D15" s="38" t="s">
        <v>1194</v>
      </c>
    </row>
    <row r="16" customFormat="false" ht="15" hidden="false" customHeight="true" outlineLevel="0" collapsed="false">
      <c r="A16" s="35" t="n">
        <v>12</v>
      </c>
      <c r="B16" s="90" t="s">
        <v>1190</v>
      </c>
      <c r="C16" s="11" t="s">
        <v>1195</v>
      </c>
      <c r="D16" s="38" t="s">
        <v>1196</v>
      </c>
    </row>
    <row r="17" customFormat="false" ht="15" hidden="false" customHeight="true" outlineLevel="0" collapsed="false">
      <c r="A17" s="35" t="n">
        <v>13</v>
      </c>
      <c r="B17" s="90" t="s">
        <v>1190</v>
      </c>
      <c r="C17" s="11" t="s">
        <v>1197</v>
      </c>
      <c r="D17" s="33" t="s">
        <v>1198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1" topLeftCell="D22" activePane="bottomRight" state="frozen"/>
      <selection pane="topLeft" activeCell="A1" activeCellId="0" sqref="A1"/>
      <selection pane="topRight" activeCell="D1" activeCellId="0" sqref="D1"/>
      <selection pane="bottomLeft" activeCell="A22" activeCellId="0" sqref="A2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8" min="8" style="1" width="17"/>
    <col collapsed="false" customWidth="true" hidden="false" outlineLevel="0" max="9" min="9" style="1" width="22"/>
    <col collapsed="false" customWidth="true" hidden="false" outlineLevel="0" max="10" min="10" style="1" width="48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16"/>
  </cols>
  <sheetData>
    <row r="1" customFormat="false" ht="23.25" hidden="false" customHeight="true" outlineLevel="0" collapsed="false">
      <c r="A1" s="39" t="s">
        <v>1199</v>
      </c>
    </row>
    <row r="2" customFormat="false" ht="15" hidden="false" customHeight="true" outlineLevel="0" collapsed="false">
      <c r="A2" s="16" t="s">
        <v>1200</v>
      </c>
    </row>
    <row r="3" customFormat="false" ht="15" hidden="false" customHeight="true" outlineLevel="0" collapsed="false">
      <c r="A3" s="19" t="s">
        <v>1201</v>
      </c>
    </row>
    <row r="5" customFormat="false" ht="18.75" hidden="false" customHeight="true" outlineLevel="0" collapsed="false">
      <c r="A5" s="42" t="s">
        <v>1202</v>
      </c>
      <c r="H5" s="42" t="s">
        <v>1203</v>
      </c>
    </row>
    <row r="6" customFormat="false" ht="30" hidden="false" customHeight="true" outlineLevel="0" collapsed="false">
      <c r="A6" s="23"/>
      <c r="B6" s="24" t="s">
        <v>662</v>
      </c>
      <c r="C6" s="24" t="s">
        <v>663</v>
      </c>
      <c r="D6" s="24" t="s">
        <v>1177</v>
      </c>
      <c r="E6" s="24" t="s">
        <v>664</v>
      </c>
      <c r="F6" s="24" t="s">
        <v>59</v>
      </c>
      <c r="H6" s="24" t="s">
        <v>786</v>
      </c>
      <c r="I6" s="24" t="s">
        <v>1204</v>
      </c>
      <c r="J6" s="23" t="s">
        <v>822</v>
      </c>
      <c r="K6" s="23" t="s">
        <v>846</v>
      </c>
      <c r="L6" s="24" t="s">
        <v>1205</v>
      </c>
      <c r="M6" s="23" t="s">
        <v>1206</v>
      </c>
    </row>
    <row r="7" customFormat="false" ht="39" hidden="false" customHeight="true" outlineLevel="0" collapsed="false">
      <c r="B7" s="64" t="s">
        <v>699</v>
      </c>
      <c r="C7" s="6" t="s">
        <v>1207</v>
      </c>
      <c r="D7" s="33" t="s">
        <v>1208</v>
      </c>
      <c r="E7" s="37"/>
      <c r="F7" s="92" t="s">
        <v>70</v>
      </c>
      <c r="H7" s="34" t="s">
        <v>1207</v>
      </c>
      <c r="I7" s="85" t="n">
        <v>1</v>
      </c>
      <c r="J7" s="85" t="n">
        <v>0</v>
      </c>
      <c r="K7" s="85" t="n">
        <v>0</v>
      </c>
      <c r="L7" s="44" t="n">
        <v>1</v>
      </c>
      <c r="M7" s="93" t="n">
        <v>0</v>
      </c>
    </row>
    <row r="8" customFormat="false" ht="39" hidden="false" customHeight="true" outlineLevel="0" collapsed="false">
      <c r="B8" s="64" t="s">
        <v>1050</v>
      </c>
      <c r="C8" s="94" t="n">
        <v>4</v>
      </c>
      <c r="D8" s="38" t="s">
        <v>1209</v>
      </c>
      <c r="E8" s="10" t="s">
        <v>1210</v>
      </c>
      <c r="F8" s="92" t="s">
        <v>70</v>
      </c>
      <c r="H8" s="34" t="s">
        <v>1211</v>
      </c>
      <c r="I8" s="85" t="n">
        <v>1</v>
      </c>
      <c r="J8" s="85" t="n">
        <v>0</v>
      </c>
      <c r="K8" s="85" t="n">
        <v>0</v>
      </c>
      <c r="L8" s="44" t="n">
        <v>1.08</v>
      </c>
      <c r="M8" s="93" t="n">
        <v>0</v>
      </c>
    </row>
    <row r="9" customFormat="false" ht="51.75" hidden="false" customHeight="true" outlineLevel="0" collapsed="false">
      <c r="B9" s="64" t="s">
        <v>1212</v>
      </c>
      <c r="C9" s="6" t="s">
        <v>1213</v>
      </c>
      <c r="D9" s="38" t="s">
        <v>1214</v>
      </c>
      <c r="E9" s="37" t="s">
        <v>1215</v>
      </c>
      <c r="F9" s="92" t="s">
        <v>70</v>
      </c>
      <c r="H9" s="34" t="s">
        <v>822</v>
      </c>
      <c r="I9" s="85" t="n">
        <v>0</v>
      </c>
      <c r="J9" s="85" t="n">
        <v>1</v>
      </c>
      <c r="K9" s="85" t="n">
        <v>0</v>
      </c>
      <c r="L9" s="44" t="n">
        <v>1.18</v>
      </c>
      <c r="M9" s="93" t="n">
        <v>1900000</v>
      </c>
    </row>
    <row r="10" customFormat="false" ht="15" hidden="false" customHeight="true" outlineLevel="0" collapsed="false">
      <c r="B10" s="64" t="s">
        <v>1216</v>
      </c>
      <c r="C10" s="95" t="n">
        <f aca="false">'탱크제작 체크리스트'!$E$84</f>
        <v>20</v>
      </c>
      <c r="D10" s="33" t="s">
        <v>1217</v>
      </c>
      <c r="E10" s="37" t="s">
        <v>666</v>
      </c>
      <c r="F10" s="92" t="s">
        <v>70</v>
      </c>
      <c r="H10" s="34" t="s">
        <v>846</v>
      </c>
      <c r="I10" s="85" t="n">
        <v>1</v>
      </c>
      <c r="J10" s="85" t="n">
        <v>0</v>
      </c>
      <c r="K10" s="85" t="n">
        <v>1</v>
      </c>
      <c r="L10" s="44" t="n">
        <v>1.06</v>
      </c>
      <c r="M10" s="93" t="n">
        <v>850000</v>
      </c>
    </row>
    <row r="11" customFormat="false" ht="15" hidden="false" customHeight="true" outlineLevel="0" collapsed="false">
      <c r="B11" s="64" t="s">
        <v>1218</v>
      </c>
      <c r="C11" s="95" t="n">
        <f aca="false">'탱크제작 체크리스트'!$E$85</f>
        <v>16</v>
      </c>
      <c r="D11" s="33" t="s">
        <v>1217</v>
      </c>
      <c r="E11" s="37" t="s">
        <v>666</v>
      </c>
      <c r="F11" s="92" t="s">
        <v>70</v>
      </c>
      <c r="H11" s="96" t="s">
        <v>1219</v>
      </c>
    </row>
    <row r="12" customFormat="false" ht="15" hidden="false" customHeight="true" outlineLevel="0" collapsed="false">
      <c r="B12" s="64" t="s">
        <v>1220</v>
      </c>
      <c r="C12" s="97" t="n">
        <f aca="false">'탱크제작 체크리스트'!$E$94</f>
        <v>5026.54824574367</v>
      </c>
      <c r="D12" s="38" t="s">
        <v>1221</v>
      </c>
      <c r="E12" s="37" t="s">
        <v>682</v>
      </c>
      <c r="F12" s="92" t="s">
        <v>70</v>
      </c>
    </row>
    <row r="13" customFormat="false" ht="15" hidden="false" customHeight="true" outlineLevel="0" collapsed="false">
      <c r="B13" s="64" t="s">
        <v>1222</v>
      </c>
      <c r="C13" s="18" t="n">
        <f aca="false">C12*1000</f>
        <v>5026548.24574367</v>
      </c>
      <c r="D13" s="33"/>
      <c r="E13" s="37" t="s">
        <v>1223</v>
      </c>
      <c r="F13" s="92" t="s">
        <v>70</v>
      </c>
    </row>
    <row r="14" customFormat="false" ht="64.5" hidden="false" customHeight="true" outlineLevel="0" collapsed="false">
      <c r="B14" s="64" t="s">
        <v>1224</v>
      </c>
      <c r="C14" s="35" t="str">
        <f aca="false">IF(C13&gt;=1000000,"대상","비대상")</f>
        <v>대상</v>
      </c>
      <c r="D14" s="38" t="s">
        <v>1225</v>
      </c>
      <c r="E14" s="37"/>
      <c r="F14" s="92" t="s">
        <v>108</v>
      </c>
    </row>
    <row r="15" customFormat="false" ht="51.75" hidden="false" customHeight="true" outlineLevel="0" collapsed="false">
      <c r="B15" s="64" t="s">
        <v>1226</v>
      </c>
      <c r="C15" s="35" t="str">
        <f aca="false">IF(C13&gt;=500000,"한국소방산업기술원","시·도")</f>
        <v>한국소방산업기술원</v>
      </c>
      <c r="D15" s="38" t="s">
        <v>1227</v>
      </c>
      <c r="E15" s="37"/>
      <c r="F15" s="92" t="s">
        <v>108</v>
      </c>
    </row>
    <row r="16" customFormat="false" ht="26.25" hidden="false" customHeight="true" outlineLevel="0" collapsed="false">
      <c r="B16" s="92" t="s">
        <v>1228</v>
      </c>
      <c r="C16" s="98" t="n">
        <f aca="false">'탱크제작 체크리스트'!$E$91</f>
        <v>0.05</v>
      </c>
      <c r="D16" s="33" t="s">
        <v>1229</v>
      </c>
      <c r="E16" s="37"/>
      <c r="F16" s="92" t="s">
        <v>70</v>
      </c>
    </row>
    <row r="17" customFormat="false" ht="63" hidden="false" customHeight="true" outlineLevel="0" collapsed="false">
      <c r="B17" s="92" t="s">
        <v>1230</v>
      </c>
      <c r="C17" s="99" t="n">
        <v>0.055</v>
      </c>
      <c r="D17" s="33" t="s">
        <v>1231</v>
      </c>
      <c r="E17" s="37" t="s">
        <v>1232</v>
      </c>
      <c r="F17" s="92" t="s">
        <v>70</v>
      </c>
    </row>
    <row r="18" customFormat="false" ht="37.5" hidden="false" customHeight="true" outlineLevel="0" collapsed="false">
      <c r="B18" s="64" t="s">
        <v>1233</v>
      </c>
      <c r="C18" s="100" t="n">
        <f aca="false">('탱크제작 체크리스트'!$E$95+'탱크제작 체크리스트'!$E$96)+'탱크제작 체크리스트'!$E$97*INDEX($I$7:$I$10,MATCH($C$7,$H$7:$H$10,0))+'탱크제작 체크리스트'!$E$99+INDEX($J$7:$J$10,MATCH($C$7,$H$7:$H$10,0))*PI()/4*C10^2*C17</f>
        <v>130.79967606146</v>
      </c>
      <c r="D18" s="33" t="s">
        <v>1234</v>
      </c>
      <c r="E18" s="37" t="s">
        <v>684</v>
      </c>
      <c r="F18" s="92" t="s">
        <v>70</v>
      </c>
    </row>
    <row r="20" customFormat="false" ht="18.75" hidden="false" customHeight="true" outlineLevel="0" collapsed="false">
      <c r="A20" s="42" t="s">
        <v>1235</v>
      </c>
    </row>
    <row r="21" customFormat="false" ht="30" hidden="false" customHeight="true" outlineLevel="0" collapsed="false">
      <c r="A21" s="23" t="s">
        <v>48</v>
      </c>
      <c r="B21" s="24" t="s">
        <v>49</v>
      </c>
      <c r="C21" s="24" t="s">
        <v>662</v>
      </c>
      <c r="D21" s="24" t="s">
        <v>1150</v>
      </c>
      <c r="E21" s="24" t="s">
        <v>1050</v>
      </c>
      <c r="F21" s="24" t="s">
        <v>664</v>
      </c>
      <c r="G21" s="24" t="s">
        <v>1152</v>
      </c>
      <c r="H21" s="24" t="s">
        <v>960</v>
      </c>
      <c r="I21" s="24" t="s">
        <v>1236</v>
      </c>
      <c r="J21" s="24" t="s">
        <v>1177</v>
      </c>
      <c r="K21" s="24" t="s">
        <v>59</v>
      </c>
    </row>
    <row r="22" customFormat="false" ht="26.25" hidden="false" customHeight="true" outlineLevel="0" collapsed="false">
      <c r="A22" s="35" t="n">
        <v>1</v>
      </c>
      <c r="B22" s="35" t="s">
        <v>366</v>
      </c>
      <c r="C22" s="10" t="s">
        <v>1237</v>
      </c>
      <c r="D22" s="37" t="s">
        <v>1238</v>
      </c>
      <c r="E22" s="101" t="n">
        <f aca="false">('탱크제작 체크리스트'!$E$95+'탱크제작 체크리스트'!$E$96)*(1+$C$16)</f>
        <v>103.578309788855</v>
      </c>
      <c r="F22" s="22" t="s">
        <v>684</v>
      </c>
      <c r="G22" s="93" t="n">
        <v>1250000</v>
      </c>
      <c r="H22" s="102" t="n">
        <f aca="false">E22*G22</f>
        <v>129472887.236069</v>
      </c>
      <c r="I22" s="33" t="s">
        <v>1239</v>
      </c>
      <c r="J22" s="38" t="s">
        <v>1240</v>
      </c>
      <c r="K22" s="34" t="s">
        <v>1241</v>
      </c>
    </row>
    <row r="23" customFormat="false" ht="15" hidden="false" customHeight="true" outlineLevel="0" collapsed="false">
      <c r="A23" s="35" t="n">
        <v>2</v>
      </c>
      <c r="B23" s="35" t="s">
        <v>366</v>
      </c>
      <c r="C23" s="10" t="s">
        <v>1242</v>
      </c>
      <c r="D23" s="10" t="s">
        <v>1243</v>
      </c>
      <c r="E23" s="101" t="n">
        <f aca="false">'탱크제작 체크리스트'!$E$97*(1+$C$16)*INDEX($I$7:$I$10,MATCH($C$7,$H$7:$H$10,0))</f>
        <v>15.8474813976949</v>
      </c>
      <c r="F23" s="22" t="s">
        <v>684</v>
      </c>
      <c r="G23" s="93" t="n">
        <v>1250000</v>
      </c>
      <c r="H23" s="102" t="n">
        <f aca="false">E23*G23</f>
        <v>19809351.7471186</v>
      </c>
      <c r="I23" s="33" t="s">
        <v>508</v>
      </c>
      <c r="J23" s="33" t="s">
        <v>1244</v>
      </c>
      <c r="K23" s="34" t="s">
        <v>70</v>
      </c>
    </row>
    <row r="24" customFormat="false" ht="15" hidden="false" customHeight="true" outlineLevel="0" collapsed="false">
      <c r="A24" s="35" t="n">
        <v>3</v>
      </c>
      <c r="B24" s="35" t="s">
        <v>366</v>
      </c>
      <c r="C24" s="10" t="s">
        <v>1245</v>
      </c>
      <c r="D24" s="10" t="s">
        <v>1246</v>
      </c>
      <c r="E24" s="101" t="n">
        <f aca="false">'탱크제작 체크리스트'!$E$99</f>
        <v>17.0608273123643</v>
      </c>
      <c r="F24" s="22" t="s">
        <v>684</v>
      </c>
      <c r="G24" s="93" t="n">
        <v>1600000</v>
      </c>
      <c r="H24" s="102" t="n">
        <f aca="false">E24*G24</f>
        <v>27297323.6997829</v>
      </c>
      <c r="I24" s="33" t="s">
        <v>520</v>
      </c>
      <c r="J24" s="33" t="s">
        <v>1244</v>
      </c>
      <c r="K24" s="34" t="s">
        <v>70</v>
      </c>
    </row>
    <row r="25" customFormat="false" ht="26.25" hidden="false" customHeight="true" outlineLevel="0" collapsed="false">
      <c r="A25" s="35" t="n">
        <v>4</v>
      </c>
      <c r="B25" s="35" t="s">
        <v>366</v>
      </c>
      <c r="C25" s="37" t="s">
        <v>1247</v>
      </c>
      <c r="D25" s="37" t="s">
        <v>1248</v>
      </c>
      <c r="E25" s="100" t="n">
        <f aca="false">INDEX($J$7:$J$10,MATCH($C$7,$H$7:$H$10,0))*PI()/4*$C$10^2*$C$17</f>
        <v>0</v>
      </c>
      <c r="F25" s="22" t="s">
        <v>684</v>
      </c>
      <c r="G25" s="93" t="n">
        <v>1400000</v>
      </c>
      <c r="H25" s="102" t="n">
        <f aca="false">E25*G25</f>
        <v>0</v>
      </c>
      <c r="I25" s="38" t="s">
        <v>1249</v>
      </c>
      <c r="J25" s="38" t="s">
        <v>1250</v>
      </c>
      <c r="K25" s="34" t="s">
        <v>1251</v>
      </c>
    </row>
    <row r="26" customFormat="false" ht="26.25" hidden="false" customHeight="true" outlineLevel="0" collapsed="false">
      <c r="A26" s="35" t="n">
        <v>5</v>
      </c>
      <c r="B26" s="35" t="s">
        <v>366</v>
      </c>
      <c r="C26" s="37" t="s">
        <v>1252</v>
      </c>
      <c r="D26" s="37" t="s">
        <v>1253</v>
      </c>
      <c r="E26" s="100" t="n">
        <f aca="false">INDEX($K$7:$K$10,MATCH($C$7,$H$7:$H$10,0))*PI()/4*$C$10^2</f>
        <v>0</v>
      </c>
      <c r="F26" s="22" t="s">
        <v>1254</v>
      </c>
      <c r="G26" s="93" t="n">
        <v>280000</v>
      </c>
      <c r="H26" s="102" t="n">
        <f aca="false">E26*G26</f>
        <v>0</v>
      </c>
      <c r="I26" s="38" t="s">
        <v>1255</v>
      </c>
      <c r="J26" s="38" t="s">
        <v>1256</v>
      </c>
      <c r="K26" s="34" t="s">
        <v>1251</v>
      </c>
    </row>
    <row r="27" customFormat="false" ht="26.25" hidden="false" customHeight="true" outlineLevel="0" collapsed="false">
      <c r="A27" s="35" t="n">
        <v>6</v>
      </c>
      <c r="B27" s="35" t="s">
        <v>366</v>
      </c>
      <c r="C27" s="10" t="s">
        <v>511</v>
      </c>
      <c r="D27" s="37" t="s">
        <v>1257</v>
      </c>
      <c r="E27" s="100" t="n">
        <f aca="false">(INDEX($J$7:$J$10,MATCH($C$7,$H$7:$H$10,0))+INDEX($K$7:$K$10,MATCH($C$7,$H$7:$H$10,0)))*PI()*$C$10</f>
        <v>0</v>
      </c>
      <c r="F27" s="22" t="s">
        <v>666</v>
      </c>
      <c r="G27" s="103" t="n">
        <f aca="false">INDEX($M$7:$M$10,MATCH($C$7,$H$7:$H$10,0))</f>
        <v>0</v>
      </c>
      <c r="H27" s="102" t="n">
        <f aca="false">E27*G27</f>
        <v>0</v>
      </c>
      <c r="I27" s="33" t="s">
        <v>1258</v>
      </c>
      <c r="J27" s="38" t="s">
        <v>1259</v>
      </c>
      <c r="K27" s="34" t="s">
        <v>1241</v>
      </c>
    </row>
    <row r="28" customFormat="false" ht="26.25" hidden="false" customHeight="true" outlineLevel="0" collapsed="false">
      <c r="A28" s="35" t="n">
        <v>7</v>
      </c>
      <c r="B28" s="35" t="s">
        <v>366</v>
      </c>
      <c r="C28" s="37" t="s">
        <v>1260</v>
      </c>
      <c r="D28" s="37" t="s">
        <v>1261</v>
      </c>
      <c r="E28" s="100" t="n">
        <f aca="false">INDEX($J$7:$J$10,MATCH($C$7,$H$7:$H$10,0))</f>
        <v>0</v>
      </c>
      <c r="F28" s="35" t="s">
        <v>1158</v>
      </c>
      <c r="G28" s="93" t="n">
        <v>160000000</v>
      </c>
      <c r="H28" s="102" t="n">
        <f aca="false">E28*G28</f>
        <v>0</v>
      </c>
      <c r="I28" s="38" t="s">
        <v>1262</v>
      </c>
      <c r="J28" s="38" t="s">
        <v>1250</v>
      </c>
      <c r="K28" s="34" t="s">
        <v>1251</v>
      </c>
    </row>
    <row r="29" customFormat="false" ht="26.25" hidden="false" customHeight="true" outlineLevel="0" collapsed="false">
      <c r="A29" s="35" t="n">
        <v>8</v>
      </c>
      <c r="B29" s="35" t="s">
        <v>366</v>
      </c>
      <c r="C29" s="10" t="s">
        <v>1263</v>
      </c>
      <c r="D29" s="10" t="s">
        <v>1264</v>
      </c>
      <c r="E29" s="104" t="n">
        <v>1</v>
      </c>
      <c r="F29" s="35" t="s">
        <v>1158</v>
      </c>
      <c r="G29" s="93" t="n">
        <v>85000000</v>
      </c>
      <c r="H29" s="102" t="n">
        <f aca="false">E29*G29</f>
        <v>85000000</v>
      </c>
      <c r="I29" s="33" t="s">
        <v>1265</v>
      </c>
      <c r="J29" s="38" t="s">
        <v>1266</v>
      </c>
      <c r="K29" s="34" t="s">
        <v>1251</v>
      </c>
    </row>
    <row r="30" customFormat="false" ht="15" hidden="false" customHeight="true" outlineLevel="0" collapsed="false">
      <c r="A30" s="35" t="n">
        <v>9</v>
      </c>
      <c r="B30" s="35" t="s">
        <v>366</v>
      </c>
      <c r="C30" s="10" t="s">
        <v>1267</v>
      </c>
      <c r="D30" s="10" t="s">
        <v>1268</v>
      </c>
      <c r="E30" s="100" t="n">
        <f aca="false">$C$18</f>
        <v>130.79967606146</v>
      </c>
      <c r="F30" s="22" t="s">
        <v>684</v>
      </c>
      <c r="G30" s="93" t="n">
        <v>110000</v>
      </c>
      <c r="H30" s="102" t="n">
        <f aca="false">E30*G30</f>
        <v>14387964.3667606</v>
      </c>
      <c r="I30" s="33" t="s">
        <v>1269</v>
      </c>
      <c r="J30" s="33" t="s">
        <v>1244</v>
      </c>
      <c r="K30" s="34" t="s">
        <v>70</v>
      </c>
    </row>
    <row r="31" customFormat="false" ht="26.25" hidden="false" customHeight="true" outlineLevel="0" collapsed="false">
      <c r="A31" s="35" t="n">
        <v>10</v>
      </c>
      <c r="B31" s="35" t="s">
        <v>381</v>
      </c>
      <c r="C31" s="10" t="s">
        <v>1270</v>
      </c>
      <c r="D31" s="10" t="s">
        <v>1271</v>
      </c>
      <c r="E31" s="100" t="n">
        <f aca="false">$C$18*30*INDEX($L$7:$L$10,MATCH($C$7,$H$7:$H$10,0))</f>
        <v>3923.9902818438</v>
      </c>
      <c r="F31" s="22" t="s">
        <v>1272</v>
      </c>
      <c r="G31" s="93" t="n">
        <v>48000</v>
      </c>
      <c r="H31" s="102" t="n">
        <f aca="false">E31*G31</f>
        <v>188351533.528502</v>
      </c>
      <c r="I31" s="33" t="s">
        <v>1273</v>
      </c>
      <c r="J31" s="38" t="s">
        <v>1274</v>
      </c>
      <c r="K31" s="34" t="s">
        <v>70</v>
      </c>
    </row>
    <row r="32" customFormat="false" ht="15" hidden="false" customHeight="true" outlineLevel="0" collapsed="false">
      <c r="A32" s="35" t="n">
        <v>11</v>
      </c>
      <c r="B32" s="35" t="s">
        <v>381</v>
      </c>
      <c r="C32" s="37" t="s">
        <v>1275</v>
      </c>
      <c r="D32" s="10" t="s">
        <v>1276</v>
      </c>
      <c r="E32" s="104" t="n">
        <v>3</v>
      </c>
      <c r="F32" s="35" t="s">
        <v>1277</v>
      </c>
      <c r="G32" s="93" t="n">
        <v>95000000</v>
      </c>
      <c r="H32" s="102" t="n">
        <f aca="false">E32*G32</f>
        <v>285000000</v>
      </c>
      <c r="I32" s="33" t="s">
        <v>1278</v>
      </c>
      <c r="J32" s="33" t="s">
        <v>1244</v>
      </c>
      <c r="K32" s="34" t="s">
        <v>70</v>
      </c>
    </row>
    <row r="33" customFormat="false" ht="15" hidden="false" customHeight="true" outlineLevel="0" collapsed="false">
      <c r="A33" s="35" t="n">
        <v>12</v>
      </c>
      <c r="B33" s="35" t="s">
        <v>381</v>
      </c>
      <c r="C33" s="10" t="s">
        <v>598</v>
      </c>
      <c r="D33" s="10" t="s">
        <v>1279</v>
      </c>
      <c r="E33" s="104" t="n">
        <v>1</v>
      </c>
      <c r="F33" s="35" t="s">
        <v>1158</v>
      </c>
      <c r="G33" s="93" t="n">
        <v>60000000</v>
      </c>
      <c r="H33" s="102" t="n">
        <f aca="false">E33*G33</f>
        <v>60000000</v>
      </c>
      <c r="I33" s="33" t="s">
        <v>1280</v>
      </c>
      <c r="J33" s="33" t="s">
        <v>1244</v>
      </c>
      <c r="K33" s="34" t="s">
        <v>70</v>
      </c>
    </row>
    <row r="34" customFormat="false" ht="26.25" hidden="false" customHeight="true" outlineLevel="0" collapsed="false">
      <c r="A34" s="35" t="n">
        <v>13</v>
      </c>
      <c r="B34" s="35" t="s">
        <v>381</v>
      </c>
      <c r="C34" s="10" t="s">
        <v>1281</v>
      </c>
      <c r="D34" s="37" t="s">
        <v>1282</v>
      </c>
      <c r="E34" s="100" t="n">
        <f aca="false">1+INDEX($J$7:$J$10,MATCH($C$7,$H$7:$H$10,0))</f>
        <v>1</v>
      </c>
      <c r="F34" s="35" t="s">
        <v>1158</v>
      </c>
      <c r="G34" s="93" t="n">
        <v>15000000</v>
      </c>
      <c r="H34" s="102" t="n">
        <f aca="false">E34*G34</f>
        <v>15000000</v>
      </c>
      <c r="I34" s="33" t="s">
        <v>1283</v>
      </c>
      <c r="J34" s="38" t="s">
        <v>1284</v>
      </c>
      <c r="K34" s="34" t="s">
        <v>1241</v>
      </c>
    </row>
    <row r="35" customFormat="false" ht="26.25" hidden="false" customHeight="true" outlineLevel="0" collapsed="false">
      <c r="A35" s="35" t="n">
        <v>14</v>
      </c>
      <c r="B35" s="35" t="s">
        <v>608</v>
      </c>
      <c r="C35" s="10" t="s">
        <v>1285</v>
      </c>
      <c r="D35" s="10" t="s">
        <v>1286</v>
      </c>
      <c r="E35" s="104" t="n">
        <v>120</v>
      </c>
      <c r="F35" s="35" t="s">
        <v>1287</v>
      </c>
      <c r="G35" s="93" t="n">
        <v>85000</v>
      </c>
      <c r="H35" s="102" t="n">
        <f aca="false">E35*G35</f>
        <v>10200000</v>
      </c>
      <c r="I35" s="33" t="s">
        <v>609</v>
      </c>
      <c r="J35" s="38" t="s">
        <v>1288</v>
      </c>
      <c r="K35" s="34" t="s">
        <v>1241</v>
      </c>
    </row>
    <row r="36" customFormat="false" ht="26.25" hidden="false" customHeight="true" outlineLevel="0" collapsed="false">
      <c r="A36" s="35" t="n">
        <v>15</v>
      </c>
      <c r="B36" s="35" t="s">
        <v>608</v>
      </c>
      <c r="C36" s="10" t="s">
        <v>612</v>
      </c>
      <c r="D36" s="10" t="s">
        <v>1289</v>
      </c>
      <c r="E36" s="100" t="n">
        <f aca="false">PI()/4*$C$10^2*0.75</f>
        <v>235.619449019234</v>
      </c>
      <c r="F36" s="22" t="s">
        <v>666</v>
      </c>
      <c r="G36" s="93" t="n">
        <v>9000</v>
      </c>
      <c r="H36" s="102" t="n">
        <f aca="false">E36*G36</f>
        <v>2120575.04117311</v>
      </c>
      <c r="I36" s="33" t="s">
        <v>612</v>
      </c>
      <c r="J36" s="38" t="s">
        <v>1290</v>
      </c>
      <c r="K36" s="34" t="s">
        <v>1291</v>
      </c>
    </row>
    <row r="37" customFormat="false" ht="26.25" hidden="false" customHeight="true" outlineLevel="0" collapsed="false">
      <c r="A37" s="35" t="n">
        <v>16</v>
      </c>
      <c r="B37" s="35" t="s">
        <v>413</v>
      </c>
      <c r="C37" s="10" t="s">
        <v>1292</v>
      </c>
      <c r="D37" s="10" t="s">
        <v>1220</v>
      </c>
      <c r="E37" s="100" t="n">
        <f aca="false">$C$12</f>
        <v>5026.54824574367</v>
      </c>
      <c r="F37" s="22" t="s">
        <v>682</v>
      </c>
      <c r="G37" s="93" t="n">
        <v>1800</v>
      </c>
      <c r="H37" s="102" t="n">
        <f aca="false">E37*G37</f>
        <v>9047786.84233861</v>
      </c>
      <c r="I37" s="33" t="s">
        <v>620</v>
      </c>
      <c r="J37" s="38" t="s">
        <v>1293</v>
      </c>
      <c r="K37" s="34" t="s">
        <v>1241</v>
      </c>
    </row>
    <row r="38" customFormat="false" ht="15" hidden="false" customHeight="true" outlineLevel="0" collapsed="false">
      <c r="A38" s="35" t="n">
        <v>17</v>
      </c>
      <c r="B38" s="35" t="s">
        <v>413</v>
      </c>
      <c r="C38" s="10" t="s">
        <v>1294</v>
      </c>
      <c r="D38" s="10" t="s">
        <v>1220</v>
      </c>
      <c r="E38" s="100" t="n">
        <f aca="false">$C$12</f>
        <v>5026.54824574367</v>
      </c>
      <c r="F38" s="22" t="s">
        <v>682</v>
      </c>
      <c r="G38" s="93" t="n">
        <v>1200</v>
      </c>
      <c r="H38" s="102" t="n">
        <f aca="false">E38*G38</f>
        <v>6031857.8948924</v>
      </c>
      <c r="I38" s="33" t="s">
        <v>620</v>
      </c>
      <c r="J38" s="33" t="s">
        <v>1244</v>
      </c>
      <c r="K38" s="34" t="s">
        <v>70</v>
      </c>
    </row>
    <row r="39" customFormat="false" ht="26.25" hidden="false" customHeight="true" outlineLevel="0" collapsed="false">
      <c r="A39" s="35" t="n">
        <v>18</v>
      </c>
      <c r="B39" s="35" t="s">
        <v>413</v>
      </c>
      <c r="C39" s="10" t="s">
        <v>1295</v>
      </c>
      <c r="D39" s="10" t="s">
        <v>1296</v>
      </c>
      <c r="E39" s="100" t="n">
        <f aca="false">1+INDEX($J$7:$J$10,MATCH($C$7,$H$7:$H$10,0))+INDEX($K$7:$K$10,MATCH($C$7,$H$7:$H$10,0))</f>
        <v>1</v>
      </c>
      <c r="F39" s="35" t="s">
        <v>1158</v>
      </c>
      <c r="G39" s="93" t="n">
        <v>8000000</v>
      </c>
      <c r="H39" s="102" t="n">
        <f aca="false">E39*G39</f>
        <v>8000000</v>
      </c>
      <c r="I39" s="33" t="s">
        <v>1297</v>
      </c>
      <c r="J39" s="38" t="s">
        <v>1298</v>
      </c>
      <c r="K39" s="34" t="s">
        <v>1241</v>
      </c>
    </row>
    <row r="40" customFormat="false" ht="15" hidden="false" customHeight="true" outlineLevel="0" collapsed="false">
      <c r="A40" s="35" t="n">
        <v>19</v>
      </c>
      <c r="B40" s="35" t="s">
        <v>917</v>
      </c>
      <c r="C40" s="10" t="s">
        <v>1299</v>
      </c>
      <c r="D40" s="10" t="s">
        <v>1300</v>
      </c>
      <c r="E40" s="100" t="n">
        <f aca="false">IF($C$14="대상",1,0)</f>
        <v>1</v>
      </c>
      <c r="F40" s="35" t="s">
        <v>1158</v>
      </c>
      <c r="G40" s="93" t="n">
        <v>15000000</v>
      </c>
      <c r="H40" s="102" t="n">
        <f aca="false">E40*G40</f>
        <v>15000000</v>
      </c>
      <c r="I40" s="33" t="s">
        <v>1301</v>
      </c>
      <c r="J40" s="38" t="s">
        <v>1302</v>
      </c>
      <c r="K40" s="34" t="s">
        <v>1241</v>
      </c>
    </row>
    <row r="41" customFormat="false" ht="26.25" hidden="false" customHeight="true" outlineLevel="0" collapsed="false">
      <c r="A41" s="35" t="n">
        <v>20</v>
      </c>
      <c r="B41" s="35" t="s">
        <v>632</v>
      </c>
      <c r="C41" s="10" t="s">
        <v>1303</v>
      </c>
      <c r="D41" s="37" t="s">
        <v>1304</v>
      </c>
      <c r="E41" s="100" t="n">
        <f aca="false">PI()*$C$10*$C$11+PI()/4*$C$10^2*1.02</f>
        <v>1325.75209981489</v>
      </c>
      <c r="F41" s="22" t="s">
        <v>1254</v>
      </c>
      <c r="G41" s="93" t="n">
        <v>28000</v>
      </c>
      <c r="H41" s="102" t="n">
        <f aca="false">E41*G41</f>
        <v>37121058.794817</v>
      </c>
      <c r="I41" s="33" t="s">
        <v>1305</v>
      </c>
      <c r="J41" s="38" t="s">
        <v>1306</v>
      </c>
      <c r="K41" s="34" t="s">
        <v>1251</v>
      </c>
    </row>
    <row r="42" customFormat="false" ht="15" hidden="false" customHeight="true" outlineLevel="0" collapsed="false">
      <c r="A42" s="35" t="n">
        <v>21</v>
      </c>
      <c r="B42" s="35" t="s">
        <v>632</v>
      </c>
      <c r="C42" s="10" t="s">
        <v>1307</v>
      </c>
      <c r="D42" s="10" t="s">
        <v>1308</v>
      </c>
      <c r="E42" s="100" t="n">
        <f aca="false">PI()/4*$C$10^2+PI()*$C$10*1</f>
        <v>376.991118430775</v>
      </c>
      <c r="F42" s="22" t="s">
        <v>1254</v>
      </c>
      <c r="G42" s="93" t="n">
        <v>45000</v>
      </c>
      <c r="H42" s="102" t="n">
        <f aca="false">E42*G42</f>
        <v>16964600.3293849</v>
      </c>
      <c r="I42" s="33" t="s">
        <v>1309</v>
      </c>
      <c r="J42" s="33" t="s">
        <v>1244</v>
      </c>
      <c r="K42" s="34" t="s">
        <v>70</v>
      </c>
    </row>
    <row r="43" customFormat="false" ht="26.25" hidden="false" customHeight="true" outlineLevel="0" collapsed="false">
      <c r="A43" s="35" t="n">
        <v>22</v>
      </c>
      <c r="B43" s="35" t="s">
        <v>548</v>
      </c>
      <c r="C43" s="10" t="s">
        <v>1310</v>
      </c>
      <c r="D43" s="37" t="s">
        <v>1311</v>
      </c>
      <c r="E43" s="100" t="n">
        <f aca="false">IF($C$9="Y",PI()*$C$10*0.6*1.5,0)</f>
        <v>0</v>
      </c>
      <c r="F43" s="22" t="s">
        <v>682</v>
      </c>
      <c r="G43" s="93" t="n">
        <v>650000</v>
      </c>
      <c r="H43" s="102" t="n">
        <f aca="false">E43*G43</f>
        <v>0</v>
      </c>
      <c r="I43" s="33" t="s">
        <v>1312</v>
      </c>
      <c r="J43" s="38" t="s">
        <v>1313</v>
      </c>
      <c r="K43" s="34" t="s">
        <v>1251</v>
      </c>
    </row>
    <row r="44" customFormat="false" ht="26.25" hidden="false" customHeight="true" outlineLevel="0" collapsed="false">
      <c r="A44" s="35" t="n">
        <v>23</v>
      </c>
      <c r="B44" s="35" t="s">
        <v>548</v>
      </c>
      <c r="C44" s="10" t="s">
        <v>1314</v>
      </c>
      <c r="D44" s="10" t="s">
        <v>1315</v>
      </c>
      <c r="E44" s="100" t="n">
        <f aca="false">IF($C$9="Y",PI()/4*$C$10^2,0)</f>
        <v>0</v>
      </c>
      <c r="F44" s="22" t="s">
        <v>1254</v>
      </c>
      <c r="G44" s="93" t="n">
        <v>25000</v>
      </c>
      <c r="H44" s="102" t="n">
        <f aca="false">E44*G44</f>
        <v>0</v>
      </c>
      <c r="I44" s="33" t="s">
        <v>556</v>
      </c>
      <c r="J44" s="38" t="s">
        <v>1313</v>
      </c>
      <c r="K44" s="34" t="s">
        <v>1251</v>
      </c>
    </row>
    <row r="45" customFormat="false" ht="15" hidden="false" customHeight="true" outlineLevel="0" collapsed="false">
      <c r="B45" s="105" t="s">
        <v>1316</v>
      </c>
      <c r="C45" s="105"/>
      <c r="D45" s="105"/>
      <c r="E45" s="105"/>
      <c r="F45" s="105"/>
      <c r="G45" s="106"/>
      <c r="H45" s="107" t="n">
        <f aca="false">SUM(H22:H44)</f>
        <v>928804939.48084</v>
      </c>
    </row>
    <row r="46" customFormat="false" ht="15" hidden="false" customHeight="true" outlineLevel="0" collapsed="false">
      <c r="B46" s="108" t="s">
        <v>261</v>
      </c>
      <c r="C46" s="108"/>
      <c r="D46" s="108"/>
      <c r="E46" s="108"/>
      <c r="F46" s="108"/>
      <c r="G46" s="109" t="n">
        <v>0.12</v>
      </c>
      <c r="H46" s="107" t="n">
        <f aca="false">H45*G46</f>
        <v>111456592.737701</v>
      </c>
      <c r="I46" s="110" t="s">
        <v>1005</v>
      </c>
      <c r="J46" s="110"/>
      <c r="K46" s="110"/>
    </row>
    <row r="47" customFormat="false" ht="15" hidden="false" customHeight="true" outlineLevel="0" collapsed="false">
      <c r="B47" s="108" t="s">
        <v>1317</v>
      </c>
      <c r="C47" s="108"/>
      <c r="D47" s="108"/>
      <c r="E47" s="108"/>
      <c r="F47" s="108"/>
      <c r="G47" s="109" t="n">
        <v>0.05</v>
      </c>
      <c r="H47" s="107" t="n">
        <f aca="false">(H45+H46)*G47</f>
        <v>52013076.610927</v>
      </c>
      <c r="I47" s="110" t="s">
        <v>1318</v>
      </c>
      <c r="J47" s="110"/>
      <c r="K47" s="110"/>
    </row>
    <row r="48" customFormat="false" ht="15" hidden="false" customHeight="true" outlineLevel="0" collapsed="false">
      <c r="B48" s="105" t="s">
        <v>1319</v>
      </c>
      <c r="C48" s="105"/>
      <c r="D48" s="105"/>
      <c r="E48" s="105"/>
      <c r="F48" s="105"/>
      <c r="G48" s="106"/>
      <c r="H48" s="107" t="n">
        <f aca="false">SUM(H45:H47)</f>
        <v>1092274608.82947</v>
      </c>
    </row>
    <row r="49" customFormat="false" ht="15" hidden="false" customHeight="true" outlineLevel="0" collapsed="false">
      <c r="B49" s="108" t="s">
        <v>1320</v>
      </c>
      <c r="C49" s="108"/>
      <c r="D49" s="108"/>
      <c r="E49" s="108"/>
      <c r="F49" s="108"/>
      <c r="G49" s="106"/>
      <c r="H49" s="107" t="n">
        <f aca="false">H48*$C$8</f>
        <v>4369098435.31787</v>
      </c>
    </row>
    <row r="50" customFormat="false" ht="15" hidden="false" customHeight="true" outlineLevel="0" collapsed="false">
      <c r="B50" s="108" t="s">
        <v>1321</v>
      </c>
      <c r="C50" s="108"/>
      <c r="D50" s="108"/>
      <c r="E50" s="108"/>
      <c r="F50" s="108"/>
      <c r="G50" s="106"/>
      <c r="H50" s="107" t="n">
        <f aca="false">IF($C$18=0,0,H48/$C$18)</f>
        <v>8350743.99049912</v>
      </c>
    </row>
    <row r="51" customFormat="false" ht="15" hidden="false" customHeight="true" outlineLevel="0" collapsed="false">
      <c r="B51" s="105" t="s">
        <v>1322</v>
      </c>
      <c r="C51" s="105"/>
      <c r="D51" s="105"/>
      <c r="E51" s="105"/>
      <c r="F51" s="105"/>
      <c r="G51" s="106"/>
      <c r="H51" s="111" t="n">
        <f aca="false">IF(P_기자재!$H$10=0,0,H48/P_기자재!$H$10)</f>
        <v>1.14976274613628</v>
      </c>
      <c r="I51" s="112" t="s">
        <v>1323</v>
      </c>
      <c r="J51" s="112"/>
      <c r="K51" s="112"/>
    </row>
  </sheetData>
  <mergeCells count="10">
    <mergeCell ref="B45:F45"/>
    <mergeCell ref="B46:F46"/>
    <mergeCell ref="I46:K46"/>
    <mergeCell ref="B47:F47"/>
    <mergeCell ref="I47:K47"/>
    <mergeCell ref="B48:F48"/>
    <mergeCell ref="B49:F49"/>
    <mergeCell ref="B50:F50"/>
    <mergeCell ref="B51:F51"/>
    <mergeCell ref="I51:K51"/>
  </mergeCells>
  <dataValidations count="2">
    <dataValidation allowBlank="false" errorStyle="stop" operator="between" showDropDown="false" showErrorMessage="false" showInputMessage="false" sqref="C7" type="list">
      <formula1>"Cone Roof,Dome Roof,EFR,IFR"</formula1>
      <formula2>0</formula2>
    </dataValidation>
    <dataValidation allowBlank="false" errorStyle="stop" operator="between" showDropDown="false" showErrorMessage="false" showInputMessage="false" sqref="C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0" min="10" style="1" width="16"/>
    <col collapsed="false" customWidth="true" hidden="false" outlineLevel="0" max="13" min="11" style="1" width="10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9" min="17" style="1" width="12"/>
  </cols>
  <sheetData>
    <row r="1" customFormat="false" ht="23.25" hidden="false" customHeight="true" outlineLevel="0" collapsed="false">
      <c r="A1" s="39" t="s">
        <v>1324</v>
      </c>
    </row>
    <row r="2" customFormat="false" ht="15" hidden="false" customHeight="true" outlineLevel="0" collapsed="false">
      <c r="A2" s="16" t="s">
        <v>1325</v>
      </c>
    </row>
    <row r="3" customFormat="false" ht="15" hidden="false" customHeight="true" outlineLevel="0" collapsed="false">
      <c r="A3" s="19" t="s">
        <v>1201</v>
      </c>
    </row>
    <row r="5" customFormat="false" ht="18.75" hidden="false" customHeight="true" outlineLevel="0" collapsed="false">
      <c r="A5" s="42" t="s">
        <v>1326</v>
      </c>
    </row>
    <row r="6" customFormat="false" ht="30" hidden="false" customHeight="true" outlineLevel="0" collapsed="false">
      <c r="B6" s="24" t="s">
        <v>457</v>
      </c>
      <c r="C6" s="24" t="s">
        <v>1327</v>
      </c>
      <c r="E6" s="24" t="s">
        <v>468</v>
      </c>
      <c r="F6" s="24" t="s">
        <v>1327</v>
      </c>
      <c r="H6" s="24" t="s">
        <v>1328</v>
      </c>
      <c r="I6" s="24" t="s">
        <v>1327</v>
      </c>
      <c r="K6" s="24" t="s">
        <v>1329</v>
      </c>
      <c r="L6" s="23" t="s">
        <v>1330</v>
      </c>
      <c r="M6" s="24" t="s">
        <v>704</v>
      </c>
    </row>
    <row r="7" customFormat="false" ht="36" hidden="false" customHeight="true" outlineLevel="0" collapsed="false">
      <c r="B7" s="10" t="s">
        <v>458</v>
      </c>
      <c r="C7" s="113" t="n">
        <f aca="false">'석유화학·배관 체크리스트'!$E$72</f>
        <v>1</v>
      </c>
      <c r="E7" s="37" t="s">
        <v>1331</v>
      </c>
      <c r="F7" s="44" t="n">
        <v>1</v>
      </c>
      <c r="H7" s="10" t="s">
        <v>1332</v>
      </c>
      <c r="I7" s="44" t="n">
        <v>1</v>
      </c>
      <c r="K7" s="37" t="s">
        <v>1333</v>
      </c>
      <c r="L7" s="114" t="n">
        <v>0.05</v>
      </c>
      <c r="M7" s="38" t="s">
        <v>1334</v>
      </c>
    </row>
    <row r="8" customFormat="false" ht="36" hidden="false" customHeight="true" outlineLevel="0" collapsed="false">
      <c r="B8" s="10" t="s">
        <v>460</v>
      </c>
      <c r="C8" s="113" t="n">
        <f aca="false">'석유화학·배관 체크리스트'!$E$73</f>
        <v>1.15</v>
      </c>
      <c r="E8" s="37" t="s">
        <v>469</v>
      </c>
      <c r="F8" s="113" t="n">
        <f aca="false">'석유화학·배관 체크리스트'!$E$77</f>
        <v>1.3</v>
      </c>
      <c r="H8" s="10" t="s">
        <v>473</v>
      </c>
      <c r="I8" s="113" t="n">
        <f aca="false">'석유화학·배관 체크리스트'!$E$79</f>
        <v>1.15</v>
      </c>
      <c r="K8" s="37" t="s">
        <v>1335</v>
      </c>
      <c r="L8" s="114" t="n">
        <v>0</v>
      </c>
      <c r="M8" s="38" t="s">
        <v>1336</v>
      </c>
    </row>
    <row r="9" customFormat="false" ht="63" hidden="false" customHeight="true" outlineLevel="0" collapsed="false">
      <c r="B9" s="10" t="s">
        <v>462</v>
      </c>
      <c r="C9" s="113" t="n">
        <f aca="false">'석유화학·배관 체크리스트'!$E$74</f>
        <v>1.6</v>
      </c>
      <c r="E9" s="37" t="s">
        <v>471</v>
      </c>
      <c r="F9" s="113" t="n">
        <f aca="false">'석유화학·배관 체크리스트'!$E$78</f>
        <v>1.8</v>
      </c>
      <c r="H9" s="10" t="s">
        <v>475</v>
      </c>
      <c r="I9" s="113" t="n">
        <f aca="false">'석유화학·배관 체크리스트'!$E$80</f>
        <v>1.25</v>
      </c>
      <c r="K9" s="37" t="s">
        <v>1337</v>
      </c>
      <c r="L9" s="114" t="n">
        <v>1</v>
      </c>
      <c r="M9" s="38" t="s">
        <v>1338</v>
      </c>
    </row>
    <row r="10" customFormat="false" ht="29.25" hidden="false" customHeight="true" outlineLevel="0" collapsed="false">
      <c r="B10" s="10" t="s">
        <v>464</v>
      </c>
      <c r="C10" s="113" t="n">
        <f aca="false">'석유화학·배관 체크리스트'!$E$75</f>
        <v>2</v>
      </c>
      <c r="H10" s="10" t="s">
        <v>477</v>
      </c>
      <c r="I10" s="113" t="n">
        <f aca="false">'석유화학·배관 체크리스트'!$E$81</f>
        <v>1.3</v>
      </c>
    </row>
    <row r="11" customFormat="false" ht="15" hidden="false" customHeight="true" outlineLevel="0" collapsed="false">
      <c r="B11" s="37" t="s">
        <v>466</v>
      </c>
      <c r="C11" s="113" t="n">
        <f aca="false">'석유화학·배관 체크리스트'!$E$76</f>
        <v>2.5</v>
      </c>
    </row>
    <row r="12" customFormat="false" ht="15" hidden="false" customHeight="true" outlineLevel="0" collapsed="false">
      <c r="B12" s="96" t="s">
        <v>1339</v>
      </c>
    </row>
    <row r="13" customFormat="false" ht="15" hidden="false" customHeight="true" outlineLevel="0" collapsed="false">
      <c r="B13" s="15" t="s">
        <v>480</v>
      </c>
      <c r="C13" s="113" t="n">
        <f aca="false">'석유화학·배관 체크리스트'!$E$84</f>
        <v>0.55</v>
      </c>
      <c r="D13" s="37" t="s">
        <v>1340</v>
      </c>
      <c r="E13" s="96" t="s">
        <v>1341</v>
      </c>
    </row>
    <row r="14" customFormat="false" ht="15" hidden="false" customHeight="true" outlineLevel="0" collapsed="false">
      <c r="B14" s="15" t="s">
        <v>1342</v>
      </c>
      <c r="C14" s="93" t="n">
        <v>48000</v>
      </c>
      <c r="D14" s="37" t="s">
        <v>1343</v>
      </c>
      <c r="E14" s="96" t="s">
        <v>1244</v>
      </c>
    </row>
    <row r="16" customFormat="false" ht="18.75" hidden="false" customHeight="true" outlineLevel="0" collapsed="false">
      <c r="A16" s="42" t="s">
        <v>1344</v>
      </c>
    </row>
    <row r="17" customFormat="false" ht="30" hidden="false" customHeight="true" outlineLevel="0" collapsed="false">
      <c r="A17" s="23" t="s">
        <v>48</v>
      </c>
      <c r="B17" s="24" t="s">
        <v>1345</v>
      </c>
      <c r="C17" s="24" t="s">
        <v>457</v>
      </c>
      <c r="D17" s="24" t="s">
        <v>468</v>
      </c>
      <c r="E17" s="24" t="s">
        <v>1328</v>
      </c>
      <c r="F17" s="24" t="s">
        <v>1329</v>
      </c>
      <c r="G17" s="23" t="s">
        <v>1346</v>
      </c>
      <c r="H17" s="24" t="s">
        <v>1347</v>
      </c>
      <c r="I17" s="23" t="s">
        <v>1348</v>
      </c>
      <c r="J17" s="24" t="s">
        <v>1349</v>
      </c>
      <c r="K17" s="24" t="s">
        <v>1350</v>
      </c>
      <c r="L17" s="24" t="s">
        <v>1351</v>
      </c>
      <c r="M17" s="24" t="s">
        <v>1352</v>
      </c>
      <c r="N17" s="24" t="s">
        <v>1353</v>
      </c>
      <c r="O17" s="24" t="s">
        <v>1354</v>
      </c>
      <c r="P17" s="24" t="s">
        <v>1355</v>
      </c>
      <c r="Q17" s="24" t="s">
        <v>1356</v>
      </c>
      <c r="R17" s="24" t="s">
        <v>1357</v>
      </c>
      <c r="S17" s="23" t="s">
        <v>1358</v>
      </c>
    </row>
    <row r="18" customFormat="false" ht="15" hidden="false" customHeight="true" outlineLevel="0" collapsed="false">
      <c r="A18" s="35" t="n">
        <v>1</v>
      </c>
      <c r="B18" s="10" t="s">
        <v>1359</v>
      </c>
      <c r="C18" s="115" t="s">
        <v>458</v>
      </c>
      <c r="D18" s="36" t="s">
        <v>1360</v>
      </c>
      <c r="E18" s="115" t="s">
        <v>473</v>
      </c>
      <c r="F18" s="36" t="s">
        <v>1333</v>
      </c>
      <c r="G18" s="94" t="n">
        <v>14000</v>
      </c>
      <c r="H18" s="94" t="n">
        <v>3800</v>
      </c>
      <c r="I18" s="36" t="s">
        <v>1213</v>
      </c>
      <c r="J18" s="93" t="n">
        <v>55000</v>
      </c>
      <c r="K18" s="116" t="n">
        <f aca="false">INDEX($C$7:$C$11,MATCH(C18,$B$7:$B$11,0))</f>
        <v>1</v>
      </c>
      <c r="L18" s="116" t="n">
        <f aca="false">INDEX($F$7:$F$9,MATCH(D18,$E$7:$E$9,0))</f>
        <v>1</v>
      </c>
      <c r="M18" s="116" t="n">
        <f aca="false">INDEX($I$7:$I$10,MATCH(E18,$H$7:$H$10,0))</f>
        <v>1.15</v>
      </c>
      <c r="N18" s="18" t="n">
        <f aca="false">G18*$C$13*K18*L18*M18</f>
        <v>8855</v>
      </c>
      <c r="O18" s="103" t="n">
        <f aca="false">N18*$C$14</f>
        <v>425040000</v>
      </c>
      <c r="P18" s="103" t="n">
        <f aca="false">G18*J18</f>
        <v>770000000</v>
      </c>
      <c r="Q18" s="114"/>
      <c r="R18" s="117" t="n">
        <f aca="false">IF(Q18="",INDEX($L$7:$L$9,MATCH(F18,$K$7:$K$9,0)),MAX(Q18,INDEX($L$7:$L$9,MATCH(F18,$K$7:$K$9,0))))</f>
        <v>0.05</v>
      </c>
      <c r="S18" s="18" t="n">
        <f aca="false">ROUNDUP(H18*R18,0)</f>
        <v>190</v>
      </c>
    </row>
    <row r="19" customFormat="false" ht="15" hidden="false" customHeight="true" outlineLevel="0" collapsed="false">
      <c r="A19" s="35" t="n">
        <v>2</v>
      </c>
      <c r="B19" s="10" t="s">
        <v>1361</v>
      </c>
      <c r="C19" s="115" t="s">
        <v>460</v>
      </c>
      <c r="D19" s="36" t="s">
        <v>1360</v>
      </c>
      <c r="E19" s="115" t="s">
        <v>1332</v>
      </c>
      <c r="F19" s="36" t="s">
        <v>1333</v>
      </c>
      <c r="G19" s="94" t="n">
        <v>3000</v>
      </c>
      <c r="H19" s="94" t="n">
        <v>850</v>
      </c>
      <c r="I19" s="36" t="s">
        <v>1213</v>
      </c>
      <c r="J19" s="93" t="n">
        <v>80000</v>
      </c>
      <c r="K19" s="116" t="n">
        <f aca="false">INDEX($C$7:$C$11,MATCH(C19,$B$7:$B$11,0))</f>
        <v>1.15</v>
      </c>
      <c r="L19" s="116" t="n">
        <f aca="false">INDEX($F$7:$F$9,MATCH(D19,$E$7:$E$9,0))</f>
        <v>1</v>
      </c>
      <c r="M19" s="116" t="n">
        <f aca="false">INDEX($I$7:$I$10,MATCH(E19,$H$7:$H$10,0))</f>
        <v>1</v>
      </c>
      <c r="N19" s="18" t="n">
        <f aca="false">G19*$C$13*K19*L19*M19</f>
        <v>1897.5</v>
      </c>
      <c r="O19" s="103" t="n">
        <f aca="false">N19*$C$14</f>
        <v>91080000</v>
      </c>
      <c r="P19" s="103" t="n">
        <f aca="false">G19*J19</f>
        <v>240000000</v>
      </c>
      <c r="Q19" s="114"/>
      <c r="R19" s="117" t="n">
        <f aca="false">IF(Q19="",INDEX($L$7:$L$9,MATCH(F19,$K$7:$K$9,0)),MAX(Q19,INDEX($L$7:$L$9,MATCH(F19,$K$7:$K$9,0))))</f>
        <v>0.05</v>
      </c>
      <c r="S19" s="18" t="n">
        <f aca="false">ROUNDUP(H19*R19,0)</f>
        <v>43</v>
      </c>
    </row>
    <row r="20" customFormat="false" ht="15" hidden="false" customHeight="true" outlineLevel="0" collapsed="false">
      <c r="A20" s="35" t="n">
        <v>3</v>
      </c>
      <c r="B20" s="37" t="s">
        <v>1362</v>
      </c>
      <c r="C20" s="115" t="s">
        <v>462</v>
      </c>
      <c r="D20" s="36" t="s">
        <v>1360</v>
      </c>
      <c r="E20" s="115" t="s">
        <v>475</v>
      </c>
      <c r="F20" s="36" t="s">
        <v>1333</v>
      </c>
      <c r="G20" s="94" t="n">
        <v>2500</v>
      </c>
      <c r="H20" s="94" t="n">
        <v>780</v>
      </c>
      <c r="I20" s="36" t="s">
        <v>1213</v>
      </c>
      <c r="J20" s="93" t="n">
        <v>150000</v>
      </c>
      <c r="K20" s="116" t="n">
        <f aca="false">INDEX($C$7:$C$11,MATCH(C20,$B$7:$B$11,0))</f>
        <v>1.6</v>
      </c>
      <c r="L20" s="116" t="n">
        <f aca="false">INDEX($F$7:$F$9,MATCH(D20,$E$7:$E$9,0))</f>
        <v>1</v>
      </c>
      <c r="M20" s="116" t="n">
        <f aca="false">INDEX($I$7:$I$10,MATCH(E20,$H$7:$H$10,0))</f>
        <v>1.25</v>
      </c>
      <c r="N20" s="18" t="n">
        <f aca="false">G20*$C$13*K20*L20*M20</f>
        <v>2750</v>
      </c>
      <c r="O20" s="103" t="n">
        <f aca="false">N20*$C$14</f>
        <v>132000000</v>
      </c>
      <c r="P20" s="103" t="n">
        <f aca="false">G20*J20</f>
        <v>375000000</v>
      </c>
      <c r="Q20" s="114" t="n">
        <v>0.1</v>
      </c>
      <c r="R20" s="117" t="n">
        <f aca="false">IF(Q20="",INDEX($L$7:$L$9,MATCH(F20,$K$7:$K$9,0)),MAX(Q20,INDEX($L$7:$L$9,MATCH(F20,$K$7:$K$9,0))))</f>
        <v>0.1</v>
      </c>
      <c r="S20" s="18" t="n">
        <f aca="false">ROUNDUP(H20*R20,0)</f>
        <v>78</v>
      </c>
    </row>
    <row r="21" customFormat="false" ht="15" hidden="false" customHeight="true" outlineLevel="0" collapsed="false">
      <c r="A21" s="35" t="n">
        <v>4</v>
      </c>
      <c r="B21" s="10" t="s">
        <v>1363</v>
      </c>
      <c r="C21" s="115" t="s">
        <v>464</v>
      </c>
      <c r="D21" s="36" t="s">
        <v>469</v>
      </c>
      <c r="E21" s="115" t="s">
        <v>1332</v>
      </c>
      <c r="F21" s="36" t="s">
        <v>1333</v>
      </c>
      <c r="G21" s="94" t="n">
        <v>1500</v>
      </c>
      <c r="H21" s="94" t="n">
        <v>380</v>
      </c>
      <c r="I21" s="36" t="s">
        <v>1364</v>
      </c>
      <c r="J21" s="93" t="n">
        <v>210000</v>
      </c>
      <c r="K21" s="116" t="n">
        <f aca="false">INDEX($C$7:$C$11,MATCH(C21,$B$7:$B$11,0))</f>
        <v>2</v>
      </c>
      <c r="L21" s="116" t="n">
        <f aca="false">INDEX($F$7:$F$9,MATCH(D21,$E$7:$E$9,0))</f>
        <v>1.3</v>
      </c>
      <c r="M21" s="116" t="n">
        <f aca="false">INDEX($I$7:$I$10,MATCH(E21,$H$7:$H$10,0))</f>
        <v>1</v>
      </c>
      <c r="N21" s="18" t="n">
        <f aca="false">G21*$C$13*K21*L21*M21</f>
        <v>2145</v>
      </c>
      <c r="O21" s="103" t="n">
        <f aca="false">N21*$C$14</f>
        <v>102960000</v>
      </c>
      <c r="P21" s="103" t="n">
        <f aca="false">G21*J21</f>
        <v>315000000</v>
      </c>
      <c r="Q21" s="114"/>
      <c r="R21" s="117" t="n">
        <f aca="false">IF(Q21="",INDEX($L$7:$L$9,MATCH(F21,$K$7:$K$9,0)),MAX(Q21,INDEX($L$7:$L$9,MATCH(F21,$K$7:$K$9,0))))</f>
        <v>0.05</v>
      </c>
      <c r="S21" s="18" t="n">
        <f aca="false">ROUNDUP(H21*R21,0)</f>
        <v>19</v>
      </c>
    </row>
    <row r="22" customFormat="false" ht="15" hidden="false" customHeight="true" outlineLevel="0" collapsed="false">
      <c r="A22" s="35" t="n">
        <v>5</v>
      </c>
      <c r="B22" s="10" t="s">
        <v>1365</v>
      </c>
      <c r="C22" s="115" t="s">
        <v>458</v>
      </c>
      <c r="D22" s="36" t="s">
        <v>1366</v>
      </c>
      <c r="E22" s="115" t="s">
        <v>1332</v>
      </c>
      <c r="F22" s="36" t="s">
        <v>1337</v>
      </c>
      <c r="G22" s="94" t="n">
        <v>600</v>
      </c>
      <c r="H22" s="94" t="n">
        <v>150</v>
      </c>
      <c r="I22" s="36" t="s">
        <v>1213</v>
      </c>
      <c r="J22" s="93" t="n">
        <v>95000</v>
      </c>
      <c r="K22" s="116" t="n">
        <f aca="false">INDEX($C$7:$C$11,MATCH(C22,$B$7:$B$11,0))</f>
        <v>1</v>
      </c>
      <c r="L22" s="116" t="n">
        <f aca="false">INDEX($F$7:$F$9,MATCH(D22,$E$7:$E$9,0))</f>
        <v>1.8</v>
      </c>
      <c r="M22" s="116" t="n">
        <f aca="false">INDEX($I$7:$I$10,MATCH(E22,$H$7:$H$10,0))</f>
        <v>1</v>
      </c>
      <c r="N22" s="18" t="n">
        <f aca="false">G22*$C$13*K22*L22*M22</f>
        <v>594</v>
      </c>
      <c r="O22" s="103" t="n">
        <f aca="false">N22*$C$14</f>
        <v>28512000</v>
      </c>
      <c r="P22" s="103" t="n">
        <f aca="false">G22*J22</f>
        <v>57000000</v>
      </c>
      <c r="Q22" s="114"/>
      <c r="R22" s="117" t="n">
        <f aca="false">IF(Q22="",INDEX($L$7:$L$9,MATCH(F22,$K$7:$K$9,0)),MAX(Q22,INDEX($L$7:$L$9,MATCH(F22,$K$7:$K$9,0))))</f>
        <v>1</v>
      </c>
      <c r="S22" s="18" t="n">
        <f aca="false">ROUNDUP(H22*R22,0)</f>
        <v>150</v>
      </c>
    </row>
    <row r="23" customFormat="false" ht="15" hidden="false" customHeight="true" outlineLevel="0" collapsed="false">
      <c r="A23" s="35" t="n">
        <v>6</v>
      </c>
      <c r="B23" s="37" t="s">
        <v>1367</v>
      </c>
      <c r="C23" s="115" t="s">
        <v>458</v>
      </c>
      <c r="D23" s="36" t="s">
        <v>469</v>
      </c>
      <c r="E23" s="115" t="s">
        <v>477</v>
      </c>
      <c r="F23" s="36" t="s">
        <v>1333</v>
      </c>
      <c r="G23" s="94" t="n">
        <v>400</v>
      </c>
      <c r="H23" s="94" t="n">
        <v>60</v>
      </c>
      <c r="I23" s="36" t="s">
        <v>1213</v>
      </c>
      <c r="J23" s="93" t="n">
        <v>70000</v>
      </c>
      <c r="K23" s="116" t="n">
        <f aca="false">INDEX($C$7:$C$11,MATCH(C23,$B$7:$B$11,0))</f>
        <v>1</v>
      </c>
      <c r="L23" s="116" t="n">
        <f aca="false">INDEX($F$7:$F$9,MATCH(D23,$E$7:$E$9,0))</f>
        <v>1.3</v>
      </c>
      <c r="M23" s="116" t="n">
        <f aca="false">INDEX($I$7:$I$10,MATCH(E23,$H$7:$H$10,0))</f>
        <v>1.3</v>
      </c>
      <c r="N23" s="18" t="n">
        <f aca="false">G23*$C$13*K23*L23*M23</f>
        <v>371.8</v>
      </c>
      <c r="O23" s="103" t="n">
        <f aca="false">N23*$C$14</f>
        <v>17846400</v>
      </c>
      <c r="P23" s="103" t="n">
        <f aca="false">G23*J23</f>
        <v>28000000</v>
      </c>
      <c r="Q23" s="114"/>
      <c r="R23" s="117" t="n">
        <f aca="false">IF(Q23="",INDEX($L$7:$L$9,MATCH(F23,$K$7:$K$9,0)),MAX(Q23,INDEX($L$7:$L$9,MATCH(F23,$K$7:$K$9,0))))</f>
        <v>0.05</v>
      </c>
      <c r="S23" s="18" t="n">
        <f aca="false">ROUNDUP(H23*R23,0)</f>
        <v>3</v>
      </c>
    </row>
    <row r="24" customFormat="false" ht="15" hidden="false" customHeight="true" outlineLevel="0" collapsed="false">
      <c r="A24" s="118"/>
      <c r="B24" s="108" t="s">
        <v>1368</v>
      </c>
      <c r="C24" s="118"/>
      <c r="D24" s="118"/>
      <c r="E24" s="118"/>
      <c r="F24" s="118"/>
      <c r="G24" s="119" t="n">
        <f aca="false">SUM(G18:G23)</f>
        <v>22000</v>
      </c>
      <c r="H24" s="119" t="n">
        <f aca="false">SUM(H18:H23)</f>
        <v>6020</v>
      </c>
      <c r="I24" s="118"/>
      <c r="J24" s="118"/>
      <c r="K24" s="118"/>
      <c r="L24" s="118"/>
      <c r="M24" s="118"/>
      <c r="N24" s="119" t="n">
        <f aca="false">SUM(N18:N23)</f>
        <v>16613.3</v>
      </c>
      <c r="O24" s="120" t="n">
        <f aca="false">SUM(O18:O23)</f>
        <v>797438400</v>
      </c>
      <c r="P24" s="120" t="n">
        <f aca="false">SUM(P18:P23)</f>
        <v>1785000000</v>
      </c>
      <c r="Q24" s="118"/>
      <c r="R24" s="118"/>
      <c r="S24" s="119" t="n">
        <f aca="false">SUM(S18:S23)</f>
        <v>483</v>
      </c>
    </row>
    <row r="26" customFormat="false" ht="18.75" hidden="false" customHeight="true" outlineLevel="0" collapsed="false">
      <c r="A26" s="42" t="s">
        <v>1369</v>
      </c>
    </row>
    <row r="27" customFormat="false" ht="30" hidden="false" customHeight="true" outlineLevel="0" collapsed="false">
      <c r="A27" s="23" t="s">
        <v>48</v>
      </c>
      <c r="B27" s="24" t="s">
        <v>662</v>
      </c>
      <c r="C27" s="24" t="s">
        <v>1150</v>
      </c>
      <c r="D27" s="24"/>
      <c r="E27" s="24"/>
      <c r="F27" s="24" t="s">
        <v>1050</v>
      </c>
      <c r="G27" s="24" t="s">
        <v>664</v>
      </c>
      <c r="H27" s="24" t="s">
        <v>1152</v>
      </c>
      <c r="I27" s="24" t="s">
        <v>960</v>
      </c>
      <c r="J27" s="24" t="s">
        <v>1236</v>
      </c>
      <c r="K27" s="24"/>
      <c r="L27" s="24" t="s">
        <v>1177</v>
      </c>
      <c r="M27" s="24"/>
      <c r="N27" s="24"/>
      <c r="O27" s="24" t="s">
        <v>59</v>
      </c>
    </row>
    <row r="28" customFormat="false" ht="26.25" hidden="false" customHeight="true" outlineLevel="0" collapsed="false">
      <c r="A28" s="35" t="n">
        <v>1</v>
      </c>
      <c r="B28" s="64" t="s">
        <v>1370</v>
      </c>
      <c r="C28" s="33" t="s">
        <v>1371</v>
      </c>
      <c r="D28" s="33"/>
      <c r="E28" s="33"/>
      <c r="F28" s="103" t="n">
        <f aca="false">O24</f>
        <v>797438400</v>
      </c>
      <c r="G28" s="10" t="s">
        <v>1158</v>
      </c>
      <c r="H28" s="35"/>
      <c r="I28" s="103" t="n">
        <f aca="false">F28</f>
        <v>797438400</v>
      </c>
      <c r="J28" s="38" t="s">
        <v>1372</v>
      </c>
      <c r="K28" s="38"/>
      <c r="L28" s="33" t="s">
        <v>1373</v>
      </c>
      <c r="M28" s="33"/>
      <c r="N28" s="33"/>
      <c r="O28" s="92" t="s">
        <v>70</v>
      </c>
    </row>
    <row r="29" customFormat="false" ht="26.25" hidden="false" customHeight="true" outlineLevel="0" collapsed="false">
      <c r="A29" s="35" t="n">
        <v>2</v>
      </c>
      <c r="B29" s="64" t="s">
        <v>1374</v>
      </c>
      <c r="C29" s="33" t="s">
        <v>1375</v>
      </c>
      <c r="D29" s="33"/>
      <c r="E29" s="33"/>
      <c r="F29" s="103" t="n">
        <f aca="false">P24</f>
        <v>1785000000</v>
      </c>
      <c r="G29" s="10" t="s">
        <v>1158</v>
      </c>
      <c r="H29" s="35"/>
      <c r="I29" s="103" t="n">
        <f aca="false">F29</f>
        <v>1785000000</v>
      </c>
      <c r="J29" s="38" t="s">
        <v>349</v>
      </c>
      <c r="K29" s="38"/>
      <c r="L29" s="33" t="s">
        <v>1244</v>
      </c>
      <c r="M29" s="33"/>
      <c r="N29" s="33"/>
      <c r="O29" s="92" t="s">
        <v>70</v>
      </c>
    </row>
    <row r="30" customFormat="false" ht="24.75" hidden="false" customHeight="true" outlineLevel="0" collapsed="false">
      <c r="A30" s="35" t="n">
        <v>3</v>
      </c>
      <c r="B30" s="92" t="s">
        <v>1376</v>
      </c>
      <c r="C30" s="33" t="s">
        <v>1377</v>
      </c>
      <c r="D30" s="33"/>
      <c r="E30" s="33"/>
      <c r="F30" s="103" t="n">
        <f aca="false">P24</f>
        <v>1785000000</v>
      </c>
      <c r="G30" s="37" t="s">
        <v>1069</v>
      </c>
      <c r="H30" s="114" t="n">
        <v>0.1</v>
      </c>
      <c r="I30" s="103" t="n">
        <f aca="false">F30*H30</f>
        <v>178500000</v>
      </c>
      <c r="J30" s="38" t="s">
        <v>1378</v>
      </c>
      <c r="K30" s="38"/>
      <c r="L30" s="33" t="s">
        <v>1379</v>
      </c>
      <c r="M30" s="33"/>
      <c r="N30" s="33"/>
      <c r="O30" s="92" t="s">
        <v>70</v>
      </c>
    </row>
    <row r="31" customFormat="false" ht="37.5" hidden="false" customHeight="true" outlineLevel="0" collapsed="false">
      <c r="A31" s="35" t="n">
        <v>4</v>
      </c>
      <c r="B31" s="92" t="s">
        <v>1380</v>
      </c>
      <c r="C31" s="38" t="s">
        <v>1381</v>
      </c>
      <c r="D31" s="38"/>
      <c r="E31" s="38"/>
      <c r="F31" s="18" t="n">
        <f aca="false">S24</f>
        <v>483</v>
      </c>
      <c r="G31" s="10" t="s">
        <v>1382</v>
      </c>
      <c r="H31" s="93" t="n">
        <v>85000</v>
      </c>
      <c r="I31" s="103" t="n">
        <f aca="false">F31*H31</f>
        <v>41055000</v>
      </c>
      <c r="J31" s="33" t="s">
        <v>395</v>
      </c>
      <c r="K31" s="33"/>
      <c r="L31" s="38" t="s">
        <v>1383</v>
      </c>
      <c r="M31" s="38"/>
      <c r="N31" s="38"/>
      <c r="O31" s="92" t="s">
        <v>1241</v>
      </c>
    </row>
    <row r="32" customFormat="false" ht="39" hidden="false" customHeight="true" outlineLevel="0" collapsed="false">
      <c r="A32" s="35" t="n">
        <v>5</v>
      </c>
      <c r="B32" s="92" t="s">
        <v>1348</v>
      </c>
      <c r="C32" s="38" t="s">
        <v>1384</v>
      </c>
      <c r="D32" s="38"/>
      <c r="E32" s="38"/>
      <c r="F32" s="18" t="n">
        <f aca="false">SUMIF(I18:I23,"Y",H18:H23)</f>
        <v>380</v>
      </c>
      <c r="G32" s="10" t="s">
        <v>1382</v>
      </c>
      <c r="H32" s="93" t="n">
        <v>180000</v>
      </c>
      <c r="I32" s="103" t="n">
        <f aca="false">F32*H32</f>
        <v>68400000</v>
      </c>
      <c r="J32" s="33" t="s">
        <v>392</v>
      </c>
      <c r="K32" s="33"/>
      <c r="L32" s="38" t="s">
        <v>1385</v>
      </c>
      <c r="M32" s="38"/>
      <c r="N32" s="38"/>
      <c r="O32" s="92" t="s">
        <v>1241</v>
      </c>
    </row>
    <row r="33" customFormat="false" ht="26.25" hidden="false" customHeight="true" outlineLevel="0" collapsed="false">
      <c r="A33" s="35" t="n">
        <v>6</v>
      </c>
      <c r="B33" s="64" t="s">
        <v>1386</v>
      </c>
      <c r="C33" s="38" t="s">
        <v>1387</v>
      </c>
      <c r="D33" s="38"/>
      <c r="E33" s="38"/>
      <c r="F33" s="18" t="n">
        <f aca="false">SUMIF(I18:I23,"Y",H18:H23)</f>
        <v>380</v>
      </c>
      <c r="G33" s="10" t="s">
        <v>1382</v>
      </c>
      <c r="H33" s="93" t="n">
        <v>15000</v>
      </c>
      <c r="I33" s="103" t="n">
        <f aca="false">F33*H33</f>
        <v>5700000</v>
      </c>
      <c r="J33" s="33" t="s">
        <v>398</v>
      </c>
      <c r="K33" s="33"/>
      <c r="L33" s="38" t="s">
        <v>1388</v>
      </c>
      <c r="M33" s="38"/>
      <c r="N33" s="38"/>
      <c r="O33" s="92" t="s">
        <v>1241</v>
      </c>
    </row>
    <row r="34" customFormat="false" ht="39" hidden="false" customHeight="true" outlineLevel="0" collapsed="false">
      <c r="A34" s="35" t="n">
        <v>7</v>
      </c>
      <c r="B34" s="92" t="s">
        <v>1389</v>
      </c>
      <c r="C34" s="38" t="s">
        <v>1390</v>
      </c>
      <c r="D34" s="38"/>
      <c r="E34" s="38"/>
      <c r="F34" s="18" t="n">
        <f aca="false">SUMIF($C$18:$C$23,"스테인리스 (SS304/316)",H18:H23)+SUMIF($C$18:$C$23,"합금강 (Cr-Mo)",H18:H23)+SUMIF($C$18:$C$23,"Duplex / 고합금",H18:H23)</f>
        <v>1160</v>
      </c>
      <c r="G34" s="10" t="s">
        <v>1382</v>
      </c>
      <c r="H34" s="93" t="n">
        <v>25000</v>
      </c>
      <c r="I34" s="103" t="n">
        <f aca="false">F34*H34</f>
        <v>29000000</v>
      </c>
      <c r="J34" s="33" t="s">
        <v>398</v>
      </c>
      <c r="K34" s="33"/>
      <c r="L34" s="33" t="s">
        <v>1391</v>
      </c>
      <c r="M34" s="33"/>
      <c r="N34" s="33"/>
      <c r="O34" s="92" t="s">
        <v>70</v>
      </c>
    </row>
    <row r="35" customFormat="false" ht="37.5" hidden="false" customHeight="true" outlineLevel="0" collapsed="false">
      <c r="A35" s="35" t="n">
        <v>8</v>
      </c>
      <c r="B35" s="64" t="s">
        <v>1392</v>
      </c>
      <c r="C35" s="38" t="s">
        <v>1393</v>
      </c>
      <c r="D35" s="38"/>
      <c r="E35" s="38"/>
      <c r="F35" s="94" t="n">
        <v>85</v>
      </c>
      <c r="G35" s="37" t="s">
        <v>1394</v>
      </c>
      <c r="H35" s="93" t="n">
        <v>2500000</v>
      </c>
      <c r="I35" s="103" t="n">
        <f aca="false">F35*H35</f>
        <v>212500000</v>
      </c>
      <c r="J35" s="33" t="s">
        <v>414</v>
      </c>
      <c r="K35" s="33"/>
      <c r="L35" s="38" t="s">
        <v>1395</v>
      </c>
      <c r="M35" s="38"/>
      <c r="N35" s="38"/>
      <c r="O35" s="92" t="s">
        <v>1241</v>
      </c>
    </row>
    <row r="36" customFormat="false" ht="39" hidden="false" customHeight="true" outlineLevel="0" collapsed="false">
      <c r="A36" s="35" t="n">
        <v>9</v>
      </c>
      <c r="B36" s="92" t="s">
        <v>1396</v>
      </c>
      <c r="C36" s="33" t="s">
        <v>1397</v>
      </c>
      <c r="D36" s="33"/>
      <c r="E36" s="33"/>
      <c r="F36" s="94" t="n">
        <v>600</v>
      </c>
      <c r="G36" s="37" t="s">
        <v>682</v>
      </c>
      <c r="H36" s="93" t="n">
        <v>3000</v>
      </c>
      <c r="I36" s="103" t="n">
        <f aca="false">F36*H36</f>
        <v>1800000</v>
      </c>
      <c r="J36" s="33" t="s">
        <v>417</v>
      </c>
      <c r="K36" s="33"/>
      <c r="L36" s="38" t="s">
        <v>1398</v>
      </c>
      <c r="M36" s="38"/>
      <c r="N36" s="38"/>
      <c r="O36" s="92" t="s">
        <v>1241</v>
      </c>
    </row>
    <row r="37" customFormat="false" ht="15" hidden="false" customHeight="true" outlineLevel="0" collapsed="false">
      <c r="A37" s="35" t="n">
        <v>10</v>
      </c>
      <c r="B37" s="64" t="s">
        <v>1399</v>
      </c>
      <c r="C37" s="33" t="s">
        <v>1400</v>
      </c>
      <c r="D37" s="33"/>
      <c r="E37" s="33"/>
      <c r="F37" s="103" t="n">
        <f aca="false">O24</f>
        <v>797438400</v>
      </c>
      <c r="G37" s="37" t="s">
        <v>1069</v>
      </c>
      <c r="H37" s="114" t="n">
        <v>0.15</v>
      </c>
      <c r="I37" s="103" t="n">
        <f aca="false">F37*H37</f>
        <v>119615760</v>
      </c>
      <c r="J37" s="33" t="s">
        <v>401</v>
      </c>
      <c r="K37" s="33"/>
      <c r="L37" s="33" t="s">
        <v>997</v>
      </c>
      <c r="M37" s="33"/>
      <c r="N37" s="33"/>
      <c r="O37" s="92" t="s">
        <v>70</v>
      </c>
    </row>
    <row r="38" customFormat="false" ht="26.25" hidden="false" customHeight="true" outlineLevel="0" collapsed="false">
      <c r="A38" s="35" t="n">
        <v>11</v>
      </c>
      <c r="B38" s="64" t="s">
        <v>1401</v>
      </c>
      <c r="C38" s="33" t="s">
        <v>1402</v>
      </c>
      <c r="D38" s="33"/>
      <c r="E38" s="33"/>
      <c r="F38" s="94" t="n">
        <v>180</v>
      </c>
      <c r="G38" s="37" t="s">
        <v>684</v>
      </c>
      <c r="H38" s="93" t="n">
        <v>3200000</v>
      </c>
      <c r="I38" s="103" t="n">
        <f aca="false">F38*H38</f>
        <v>576000000</v>
      </c>
      <c r="J38" s="33" t="s">
        <v>358</v>
      </c>
      <c r="K38" s="33"/>
      <c r="L38" s="33" t="s">
        <v>1244</v>
      </c>
      <c r="M38" s="33"/>
      <c r="N38" s="33"/>
      <c r="O38" s="92" t="s">
        <v>70</v>
      </c>
    </row>
    <row r="39" customFormat="false" ht="26.25" hidden="false" customHeight="true" outlineLevel="0" collapsed="false">
      <c r="A39" s="35" t="n">
        <v>12</v>
      </c>
      <c r="B39" s="92" t="s">
        <v>1403</v>
      </c>
      <c r="C39" s="38" t="s">
        <v>1404</v>
      </c>
      <c r="D39" s="38"/>
      <c r="E39" s="38"/>
      <c r="F39" s="93" t="n">
        <v>1</v>
      </c>
      <c r="G39" s="10" t="s">
        <v>1158</v>
      </c>
      <c r="H39" s="93" t="n">
        <v>120000000</v>
      </c>
      <c r="I39" s="103" t="n">
        <f aca="false">F39*H39</f>
        <v>120000000</v>
      </c>
      <c r="J39" s="38" t="s">
        <v>1405</v>
      </c>
      <c r="K39" s="38"/>
      <c r="L39" s="33" t="s">
        <v>1244</v>
      </c>
      <c r="M39" s="33"/>
      <c r="N39" s="33"/>
      <c r="O39" s="92" t="s">
        <v>70</v>
      </c>
    </row>
    <row r="40" customFormat="false" ht="26.25" hidden="false" customHeight="true" outlineLevel="0" collapsed="false">
      <c r="A40" s="35" t="n">
        <v>13</v>
      </c>
      <c r="B40" s="92" t="s">
        <v>1406</v>
      </c>
      <c r="C40" s="38" t="s">
        <v>1407</v>
      </c>
      <c r="D40" s="38"/>
      <c r="E40" s="38"/>
      <c r="F40" s="94" t="n">
        <v>6</v>
      </c>
      <c r="G40" s="10" t="s">
        <v>1408</v>
      </c>
      <c r="H40" s="93" t="n">
        <v>18000000</v>
      </c>
      <c r="I40" s="103" t="n">
        <f aca="false">F40*H40</f>
        <v>108000000</v>
      </c>
      <c r="J40" s="38" t="s">
        <v>1409</v>
      </c>
      <c r="K40" s="38"/>
      <c r="L40" s="38" t="s">
        <v>1410</v>
      </c>
      <c r="M40" s="38"/>
      <c r="N40" s="38"/>
      <c r="O40" s="92" t="s">
        <v>1251</v>
      </c>
    </row>
    <row r="41" customFormat="false" ht="15" hidden="false" customHeight="true" outlineLevel="0" collapsed="false">
      <c r="B41" s="121" t="s">
        <v>1411</v>
      </c>
      <c r="C41" s="121"/>
      <c r="D41" s="121"/>
      <c r="E41" s="121"/>
      <c r="F41" s="121"/>
      <c r="G41" s="121"/>
      <c r="H41" s="121"/>
      <c r="I41" s="120" t="n">
        <f aca="false">SUM(I28:I40)</f>
        <v>4043009160</v>
      </c>
      <c r="J41" s="122" t="s">
        <v>1412</v>
      </c>
      <c r="K41" s="122"/>
      <c r="L41" s="122"/>
      <c r="M41" s="122"/>
      <c r="N41" s="122"/>
      <c r="O41" s="122"/>
    </row>
    <row r="42" customFormat="false" ht="15" hidden="false" customHeight="true" outlineLevel="0" collapsed="false">
      <c r="B42" s="123" t="s">
        <v>1413</v>
      </c>
      <c r="C42" s="123"/>
      <c r="D42" s="123"/>
      <c r="E42" s="123"/>
      <c r="F42" s="123"/>
      <c r="G42" s="123"/>
      <c r="H42" s="123"/>
      <c r="I42" s="124" t="n">
        <f aca="false">IF(G24=0,0,I41/G24)</f>
        <v>183773.143636364</v>
      </c>
    </row>
  </sheetData>
  <mergeCells count="45">
    <mergeCell ref="C27:E27"/>
    <mergeCell ref="J27:K27"/>
    <mergeCell ref="L27:N27"/>
    <mergeCell ref="C28:E28"/>
    <mergeCell ref="J28:K28"/>
    <mergeCell ref="L28:N28"/>
    <mergeCell ref="C29:E29"/>
    <mergeCell ref="J29:K29"/>
    <mergeCell ref="L29:N29"/>
    <mergeCell ref="C30:E30"/>
    <mergeCell ref="J30:K30"/>
    <mergeCell ref="L30:N30"/>
    <mergeCell ref="C31:E31"/>
    <mergeCell ref="J31:K31"/>
    <mergeCell ref="L31:N31"/>
    <mergeCell ref="C32:E32"/>
    <mergeCell ref="J32:K32"/>
    <mergeCell ref="L32:N32"/>
    <mergeCell ref="C33:E33"/>
    <mergeCell ref="J33:K33"/>
    <mergeCell ref="L33:N33"/>
    <mergeCell ref="C34:E34"/>
    <mergeCell ref="J34:K34"/>
    <mergeCell ref="L34:N34"/>
    <mergeCell ref="C35:E35"/>
    <mergeCell ref="J35:K35"/>
    <mergeCell ref="L35:N35"/>
    <mergeCell ref="C36:E36"/>
    <mergeCell ref="J36:K36"/>
    <mergeCell ref="L36:N36"/>
    <mergeCell ref="C37:E37"/>
    <mergeCell ref="J37:K37"/>
    <mergeCell ref="L37:N37"/>
    <mergeCell ref="C38:E38"/>
    <mergeCell ref="J38:K38"/>
    <mergeCell ref="L38:N38"/>
    <mergeCell ref="C39:E39"/>
    <mergeCell ref="J39:K39"/>
    <mergeCell ref="L39:N39"/>
    <mergeCell ref="C40:E40"/>
    <mergeCell ref="J40:K40"/>
    <mergeCell ref="L40:N40"/>
    <mergeCell ref="B41:H41"/>
    <mergeCell ref="J41:O41"/>
    <mergeCell ref="B42:H42"/>
  </mergeCells>
  <conditionalFormatting sqref="O28:O40">
    <cfRule type="cellIs" priority="2" operator="equal" aboveAverage="0" equalAverage="0" bottom="0" percent="0" rank="0" text="" dxfId="11">
      <formula>"A"</formula>
    </cfRule>
    <cfRule type="cellIs" priority="3" operator="equal" aboveAverage="0" equalAverage="0" bottom="0" percent="0" rank="0" text="" dxfId="14">
      <formula>"B"</formula>
    </cfRule>
    <cfRule type="cellIs" priority="4" operator="equal" aboveAverage="0" equalAverage="0" bottom="0" percent="0" rank="0" text="" dxfId="13">
      <formula>"C"</formula>
    </cfRule>
    <cfRule type="cellIs" priority="5" operator="equal" aboveAverage="0" equalAverage="0" bottom="0" percent="0" rank="0" text="" dxfId="15">
      <formula>"D"</formula>
    </cfRule>
  </conditionalFormatting>
  <dataValidations count="5">
    <dataValidation allowBlank="false" errorStyle="stop" operator="between" showDropDown="false" showErrorMessage="false" showInputMessage="false" sqref="C18:C23" type="list">
      <formula1>$B$7:$B$11</formula1>
      <formula2>0</formula2>
    </dataValidation>
    <dataValidation allowBlank="false" errorStyle="stop" operator="between" showDropDown="false" showErrorMessage="false" showInputMessage="false" sqref="D18:D23" type="list">
      <formula1>$E$7:$E$9</formula1>
      <formula2>0</formula2>
    </dataValidation>
    <dataValidation allowBlank="false" errorStyle="stop" operator="between" showDropDown="false" showErrorMessage="false" showInputMessage="false" sqref="E18:E23" type="list">
      <formula1>$H$7:$H$10</formula1>
      <formula2>0</formula2>
    </dataValidation>
    <dataValidation allowBlank="false" errorStyle="stop" operator="between" showDropDown="false" showErrorMessage="false" showInputMessage="false" sqref="F18:F23" type="list">
      <formula1>$K$7:$K$9</formula1>
      <formula2>0</formula2>
    </dataValidation>
    <dataValidation allowBlank="false" errorStyle="stop" operator="between" showDropDown="false" showErrorMessage="false" showInputMessage="false" sqref="I18:I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70"/>
    <col collapsed="false" customWidth="true" hidden="false" outlineLevel="0" max="4" min="4" style="1" width="26"/>
    <col collapsed="false" customWidth="true" hidden="false" outlineLevel="0" max="5" min="5" style="1" width="8"/>
    <col collapsed="false" customWidth="true" hidden="false" outlineLevel="0" max="6" min="6" style="1" width="48"/>
    <col collapsed="false" customWidth="true" hidden="false" outlineLevel="0" max="7" min="7" style="1" width="40"/>
  </cols>
  <sheetData>
    <row r="1" customFormat="false" ht="23.25" hidden="false" customHeight="true" outlineLevel="0" collapsed="false">
      <c r="A1" s="39" t="s">
        <v>1414</v>
      </c>
    </row>
    <row r="2" customFormat="false" ht="15" hidden="false" customHeight="true" outlineLevel="0" collapsed="false">
      <c r="A2" s="54" t="s">
        <v>1415</v>
      </c>
    </row>
    <row r="4" customFormat="false" ht="15" hidden="false" customHeight="true" outlineLevel="0" collapsed="false">
      <c r="A4" s="15" t="s">
        <v>59</v>
      </c>
    </row>
    <row r="5" customFormat="false" ht="15" hidden="false" customHeight="true" outlineLevel="0" collapsed="false">
      <c r="A5" s="125" t="s">
        <v>104</v>
      </c>
      <c r="B5" s="47" t="s">
        <v>1416</v>
      </c>
      <c r="C5" s="47"/>
      <c r="D5" s="47"/>
    </row>
    <row r="6" customFormat="false" ht="15" hidden="false" customHeight="true" outlineLevel="0" collapsed="false">
      <c r="A6" s="126" t="s">
        <v>108</v>
      </c>
      <c r="B6" s="47" t="s">
        <v>1417</v>
      </c>
      <c r="C6" s="47"/>
      <c r="D6" s="47"/>
    </row>
    <row r="7" customFormat="false" ht="15" hidden="false" customHeight="true" outlineLevel="0" collapsed="false">
      <c r="A7" s="127" t="s">
        <v>345</v>
      </c>
      <c r="B7" s="47" t="s">
        <v>1418</v>
      </c>
      <c r="C7" s="47"/>
      <c r="D7" s="47"/>
    </row>
    <row r="8" customFormat="false" ht="15" hidden="false" customHeight="true" outlineLevel="0" collapsed="false">
      <c r="A8" s="128" t="s">
        <v>70</v>
      </c>
      <c r="B8" s="47" t="s">
        <v>1419</v>
      </c>
      <c r="C8" s="47"/>
      <c r="D8" s="47"/>
    </row>
    <row r="10" customFormat="false" ht="30" hidden="false" customHeight="true" outlineLevel="0" collapsed="false">
      <c r="A10" s="23" t="s">
        <v>1420</v>
      </c>
      <c r="B10" s="24" t="s">
        <v>49</v>
      </c>
      <c r="C10" s="24" t="s">
        <v>1421</v>
      </c>
      <c r="D10" s="24" t="s">
        <v>1422</v>
      </c>
      <c r="E10" s="24" t="s">
        <v>1423</v>
      </c>
      <c r="F10" s="23" t="s">
        <v>1424</v>
      </c>
      <c r="G10" s="24" t="s">
        <v>456</v>
      </c>
    </row>
    <row r="11" customFormat="false" ht="26.25" hidden="false" customHeight="true" outlineLevel="0" collapsed="false">
      <c r="A11" s="34" t="s">
        <v>1425</v>
      </c>
      <c r="B11" s="129" t="s">
        <v>1426</v>
      </c>
      <c r="C11" s="33" t="s">
        <v>1427</v>
      </c>
      <c r="D11" s="33" t="s">
        <v>1428</v>
      </c>
      <c r="E11" s="34" t="s">
        <v>108</v>
      </c>
      <c r="F11" s="130" t="s">
        <v>1429</v>
      </c>
      <c r="G11" s="33" t="s">
        <v>1430</v>
      </c>
    </row>
    <row r="12" customFormat="false" ht="26.25" hidden="false" customHeight="true" outlineLevel="0" collapsed="false">
      <c r="A12" s="34" t="s">
        <v>1431</v>
      </c>
      <c r="B12" s="129" t="s">
        <v>1426</v>
      </c>
      <c r="C12" s="33" t="s">
        <v>1432</v>
      </c>
      <c r="D12" s="33" t="s">
        <v>1433</v>
      </c>
      <c r="E12" s="34" t="s">
        <v>108</v>
      </c>
      <c r="F12" s="130" t="s">
        <v>1434</v>
      </c>
      <c r="G12" s="38" t="s">
        <v>1435</v>
      </c>
    </row>
    <row r="13" customFormat="false" ht="39" hidden="false" customHeight="true" outlineLevel="0" collapsed="false">
      <c r="A13" s="34" t="s">
        <v>1436</v>
      </c>
      <c r="B13" s="129" t="s">
        <v>1426</v>
      </c>
      <c r="C13" s="33" t="s">
        <v>1437</v>
      </c>
      <c r="D13" s="33" t="s">
        <v>1438</v>
      </c>
      <c r="E13" s="34" t="s">
        <v>108</v>
      </c>
      <c r="F13" s="130" t="s">
        <v>1439</v>
      </c>
      <c r="G13" s="33" t="s">
        <v>1440</v>
      </c>
    </row>
    <row r="14" customFormat="false" ht="26.25" hidden="false" customHeight="true" outlineLevel="0" collapsed="false">
      <c r="A14" s="34" t="s">
        <v>1441</v>
      </c>
      <c r="B14" s="129" t="s">
        <v>1426</v>
      </c>
      <c r="C14" s="33" t="s">
        <v>1442</v>
      </c>
      <c r="D14" s="33" t="s">
        <v>1443</v>
      </c>
      <c r="E14" s="34" t="s">
        <v>108</v>
      </c>
      <c r="F14" s="130" t="s">
        <v>1444</v>
      </c>
      <c r="G14" s="33" t="s">
        <v>1445</v>
      </c>
    </row>
    <row r="15" customFormat="false" ht="26.25" hidden="false" customHeight="true" outlineLevel="0" collapsed="false">
      <c r="A15" s="34" t="s">
        <v>1446</v>
      </c>
      <c r="B15" s="129" t="s">
        <v>1447</v>
      </c>
      <c r="C15" s="33" t="s">
        <v>1448</v>
      </c>
      <c r="D15" s="38" t="s">
        <v>1449</v>
      </c>
      <c r="E15" s="34" t="s">
        <v>108</v>
      </c>
      <c r="F15" s="130" t="s">
        <v>1450</v>
      </c>
      <c r="G15" s="33" t="s">
        <v>1451</v>
      </c>
    </row>
    <row r="16" customFormat="false" ht="39" hidden="false" customHeight="true" outlineLevel="0" collapsed="false">
      <c r="A16" s="34" t="s">
        <v>1452</v>
      </c>
      <c r="B16" s="129" t="s">
        <v>1426</v>
      </c>
      <c r="C16" s="33" t="s">
        <v>1453</v>
      </c>
      <c r="D16" s="38" t="s">
        <v>1454</v>
      </c>
      <c r="E16" s="34" t="s">
        <v>108</v>
      </c>
      <c r="F16" s="130" t="s">
        <v>1455</v>
      </c>
      <c r="G16" s="33" t="s">
        <v>1456</v>
      </c>
    </row>
    <row r="17" customFormat="false" ht="26.25" hidden="false" customHeight="true" outlineLevel="0" collapsed="false">
      <c r="A17" s="34" t="s">
        <v>1457</v>
      </c>
      <c r="B17" s="129" t="s">
        <v>1426</v>
      </c>
      <c r="C17" s="33" t="s">
        <v>1458</v>
      </c>
      <c r="D17" s="33" t="s">
        <v>1459</v>
      </c>
      <c r="E17" s="34" t="s">
        <v>108</v>
      </c>
      <c r="F17" s="130" t="s">
        <v>1460</v>
      </c>
      <c r="G17" s="33"/>
    </row>
    <row r="18" customFormat="false" ht="26.25" hidden="false" customHeight="true" outlineLevel="0" collapsed="false">
      <c r="A18" s="34" t="s">
        <v>1461</v>
      </c>
      <c r="B18" s="129" t="s">
        <v>1426</v>
      </c>
      <c r="C18" s="33" t="s">
        <v>1462</v>
      </c>
      <c r="D18" s="38" t="s">
        <v>1463</v>
      </c>
      <c r="E18" s="34" t="s">
        <v>108</v>
      </c>
      <c r="F18" s="130" t="s">
        <v>1464</v>
      </c>
      <c r="G18" s="33" t="s">
        <v>1465</v>
      </c>
    </row>
    <row r="19" customFormat="false" ht="15" hidden="false" customHeight="true" outlineLevel="0" collapsed="false">
      <c r="A19" s="34" t="s">
        <v>1466</v>
      </c>
      <c r="B19" s="129" t="s">
        <v>1467</v>
      </c>
      <c r="C19" s="38" t="s">
        <v>1468</v>
      </c>
      <c r="D19" s="38" t="s">
        <v>1469</v>
      </c>
      <c r="E19" s="34" t="s">
        <v>108</v>
      </c>
      <c r="F19" s="130" t="s">
        <v>1470</v>
      </c>
      <c r="G19" s="38" t="s">
        <v>1471</v>
      </c>
    </row>
    <row r="20" customFormat="false" ht="26.25" hidden="false" customHeight="true" outlineLevel="0" collapsed="false">
      <c r="A20" s="34" t="s">
        <v>1472</v>
      </c>
      <c r="B20" s="129" t="s">
        <v>1473</v>
      </c>
      <c r="C20" s="38" t="s">
        <v>1474</v>
      </c>
      <c r="D20" s="38" t="s">
        <v>1475</v>
      </c>
      <c r="E20" s="34" t="s">
        <v>108</v>
      </c>
      <c r="F20" s="130" t="s">
        <v>1476</v>
      </c>
      <c r="G20" s="38" t="s">
        <v>1477</v>
      </c>
    </row>
    <row r="21" customFormat="false" ht="15" hidden="false" customHeight="true" outlineLevel="0" collapsed="false">
      <c r="A21" s="34" t="s">
        <v>1478</v>
      </c>
      <c r="B21" s="129" t="s">
        <v>1473</v>
      </c>
      <c r="C21" s="38" t="s">
        <v>1479</v>
      </c>
      <c r="D21" s="33" t="s">
        <v>1480</v>
      </c>
      <c r="E21" s="34" t="s">
        <v>345</v>
      </c>
      <c r="F21" s="130" t="s">
        <v>1481</v>
      </c>
      <c r="G21" s="33" t="s">
        <v>1482</v>
      </c>
    </row>
    <row r="22" customFormat="false" ht="51.75" hidden="false" customHeight="true" outlineLevel="0" collapsed="false">
      <c r="A22" s="34" t="s">
        <v>1483</v>
      </c>
      <c r="B22" s="129" t="s">
        <v>1484</v>
      </c>
      <c r="C22" s="38" t="s">
        <v>1485</v>
      </c>
      <c r="D22" s="38" t="s">
        <v>1486</v>
      </c>
      <c r="E22" s="34" t="s">
        <v>108</v>
      </c>
      <c r="F22" s="130" t="s">
        <v>1487</v>
      </c>
      <c r="G22" s="33" t="s">
        <v>1488</v>
      </c>
    </row>
    <row r="23" customFormat="false" ht="15" hidden="false" customHeight="true" outlineLevel="0" collapsed="false">
      <c r="A23" s="34" t="s">
        <v>1489</v>
      </c>
      <c r="B23" s="129" t="s">
        <v>1484</v>
      </c>
      <c r="C23" s="38" t="s">
        <v>1490</v>
      </c>
      <c r="D23" s="38" t="s">
        <v>1491</v>
      </c>
      <c r="E23" s="34" t="s">
        <v>104</v>
      </c>
      <c r="F23" s="130" t="s">
        <v>1492</v>
      </c>
      <c r="G23" s="33"/>
    </row>
    <row r="24" customFormat="false" ht="23.25" hidden="false" customHeight="true" outlineLevel="0" collapsed="false">
      <c r="A24" s="34" t="s">
        <v>1493</v>
      </c>
      <c r="B24" s="129" t="s">
        <v>1484</v>
      </c>
      <c r="C24" s="38" t="s">
        <v>1494</v>
      </c>
      <c r="D24" s="38" t="s">
        <v>1495</v>
      </c>
      <c r="E24" s="34" t="s">
        <v>104</v>
      </c>
      <c r="F24" s="130" t="s">
        <v>1496</v>
      </c>
      <c r="G24" s="33"/>
    </row>
    <row r="25" customFormat="false" ht="23.25" hidden="false" customHeight="true" outlineLevel="0" collapsed="false">
      <c r="A25" s="34" t="s">
        <v>1497</v>
      </c>
      <c r="B25" s="129" t="s">
        <v>1484</v>
      </c>
      <c r="C25" s="38" t="s">
        <v>1498</v>
      </c>
      <c r="D25" s="38" t="s">
        <v>1499</v>
      </c>
      <c r="E25" s="34" t="s">
        <v>104</v>
      </c>
      <c r="F25" s="130" t="s">
        <v>1500</v>
      </c>
      <c r="G25" s="38" t="s">
        <v>1501</v>
      </c>
    </row>
    <row r="26" customFormat="false" ht="15" hidden="false" customHeight="true" outlineLevel="0" collapsed="false">
      <c r="A26" s="34" t="s">
        <v>1502</v>
      </c>
      <c r="B26" s="129" t="s">
        <v>1484</v>
      </c>
      <c r="C26" s="38" t="s">
        <v>1503</v>
      </c>
      <c r="D26" s="38" t="s">
        <v>1504</v>
      </c>
      <c r="E26" s="34" t="s">
        <v>104</v>
      </c>
      <c r="F26" s="130" t="s">
        <v>1505</v>
      </c>
      <c r="G26" s="33"/>
    </row>
    <row r="27" customFormat="false" ht="15" hidden="false" customHeight="true" outlineLevel="0" collapsed="false">
      <c r="A27" s="34" t="s">
        <v>1506</v>
      </c>
      <c r="B27" s="129" t="s">
        <v>1484</v>
      </c>
      <c r="C27" s="38" t="s">
        <v>1507</v>
      </c>
      <c r="D27" s="38" t="s">
        <v>1508</v>
      </c>
      <c r="E27" s="34" t="s">
        <v>104</v>
      </c>
      <c r="F27" s="130" t="s">
        <v>1509</v>
      </c>
      <c r="G27" s="33"/>
    </row>
    <row r="28" customFormat="false" ht="15" hidden="false" customHeight="true" outlineLevel="0" collapsed="false">
      <c r="A28" s="34" t="s">
        <v>1510</v>
      </c>
      <c r="B28" s="129" t="s">
        <v>1484</v>
      </c>
      <c r="C28" s="38" t="s">
        <v>1511</v>
      </c>
      <c r="D28" s="38" t="s">
        <v>1512</v>
      </c>
      <c r="E28" s="34" t="s">
        <v>104</v>
      </c>
      <c r="F28" s="130" t="s">
        <v>1513</v>
      </c>
      <c r="G28" s="33"/>
    </row>
    <row r="29" customFormat="false" ht="15" hidden="false" customHeight="true" outlineLevel="0" collapsed="false">
      <c r="A29" s="34" t="s">
        <v>1514</v>
      </c>
      <c r="B29" s="129" t="s">
        <v>1484</v>
      </c>
      <c r="C29" s="38" t="s">
        <v>1515</v>
      </c>
      <c r="D29" s="38" t="s">
        <v>1516</v>
      </c>
      <c r="E29" s="34" t="s">
        <v>104</v>
      </c>
      <c r="F29" s="130" t="s">
        <v>1517</v>
      </c>
      <c r="G29" s="33"/>
    </row>
    <row r="30" customFormat="false" ht="15" hidden="false" customHeight="true" outlineLevel="0" collapsed="false">
      <c r="A30" s="34" t="s">
        <v>1518</v>
      </c>
      <c r="B30" s="129" t="s">
        <v>1484</v>
      </c>
      <c r="C30" s="38" t="s">
        <v>1519</v>
      </c>
      <c r="D30" s="38" t="s">
        <v>1520</v>
      </c>
      <c r="E30" s="34" t="s">
        <v>104</v>
      </c>
      <c r="F30" s="130" t="s">
        <v>1521</v>
      </c>
      <c r="G30" s="33"/>
    </row>
    <row r="31" customFormat="false" ht="15" hidden="false" customHeight="true" outlineLevel="0" collapsed="false">
      <c r="A31" s="34" t="s">
        <v>1522</v>
      </c>
      <c r="B31" s="129" t="s">
        <v>1484</v>
      </c>
      <c r="C31" s="38" t="s">
        <v>1523</v>
      </c>
      <c r="D31" s="38" t="s">
        <v>1524</v>
      </c>
      <c r="E31" s="34" t="s">
        <v>108</v>
      </c>
      <c r="F31" s="130" t="s">
        <v>1525</v>
      </c>
      <c r="G31" s="33"/>
    </row>
    <row r="32" customFormat="false" ht="15" hidden="false" customHeight="true" outlineLevel="0" collapsed="false">
      <c r="A32" s="34" t="s">
        <v>1526</v>
      </c>
      <c r="B32" s="129" t="s">
        <v>1484</v>
      </c>
      <c r="C32" s="38" t="s">
        <v>1527</v>
      </c>
      <c r="D32" s="38" t="s">
        <v>1528</v>
      </c>
      <c r="E32" s="34" t="s">
        <v>104</v>
      </c>
      <c r="F32" s="130" t="s">
        <v>1529</v>
      </c>
      <c r="G32" s="33"/>
    </row>
    <row r="33" customFormat="false" ht="15" hidden="false" customHeight="true" outlineLevel="0" collapsed="false">
      <c r="A33" s="34" t="s">
        <v>1530</v>
      </c>
      <c r="B33" s="129" t="s">
        <v>1484</v>
      </c>
      <c r="C33" s="38" t="s">
        <v>1531</v>
      </c>
      <c r="D33" s="38" t="s">
        <v>1532</v>
      </c>
      <c r="E33" s="34" t="s">
        <v>104</v>
      </c>
      <c r="F33" s="130" t="s">
        <v>1533</v>
      </c>
      <c r="G33" s="33"/>
    </row>
    <row r="34" customFormat="false" ht="15" hidden="false" customHeight="true" outlineLevel="0" collapsed="false">
      <c r="A34" s="34" t="s">
        <v>1534</v>
      </c>
      <c r="B34" s="129" t="s">
        <v>1484</v>
      </c>
      <c r="C34" s="38" t="s">
        <v>1535</v>
      </c>
      <c r="D34" s="38" t="s">
        <v>1536</v>
      </c>
      <c r="E34" s="34" t="s">
        <v>104</v>
      </c>
      <c r="F34" s="130" t="s">
        <v>1537</v>
      </c>
      <c r="G34" s="33"/>
    </row>
    <row r="35" customFormat="false" ht="15" hidden="false" customHeight="true" outlineLevel="0" collapsed="false">
      <c r="A35" s="34" t="s">
        <v>1538</v>
      </c>
      <c r="B35" s="129" t="s">
        <v>1484</v>
      </c>
      <c r="C35" s="38" t="s">
        <v>1539</v>
      </c>
      <c r="D35" s="38" t="s">
        <v>1540</v>
      </c>
      <c r="E35" s="34" t="s">
        <v>108</v>
      </c>
      <c r="F35" s="130" t="s">
        <v>1541</v>
      </c>
      <c r="G35" s="33"/>
    </row>
    <row r="36" customFormat="false" ht="15" hidden="false" customHeight="true" outlineLevel="0" collapsed="false">
      <c r="A36" s="34" t="s">
        <v>1542</v>
      </c>
      <c r="B36" s="129" t="s">
        <v>1484</v>
      </c>
      <c r="C36" s="38" t="s">
        <v>1543</v>
      </c>
      <c r="D36" s="38" t="s">
        <v>1544</v>
      </c>
      <c r="E36" s="34" t="s">
        <v>104</v>
      </c>
      <c r="F36" s="130" t="s">
        <v>1545</v>
      </c>
      <c r="G36" s="38" t="s">
        <v>1546</v>
      </c>
    </row>
    <row r="37" customFormat="false" ht="15" hidden="false" customHeight="true" outlineLevel="0" collapsed="false">
      <c r="A37" s="34" t="s">
        <v>1547</v>
      </c>
      <c r="B37" s="129" t="s">
        <v>1484</v>
      </c>
      <c r="C37" s="38" t="s">
        <v>1548</v>
      </c>
      <c r="D37" s="38" t="s">
        <v>1549</v>
      </c>
      <c r="E37" s="34" t="s">
        <v>104</v>
      </c>
      <c r="F37" s="130" t="s">
        <v>1550</v>
      </c>
      <c r="G37" s="33"/>
    </row>
    <row r="38" customFormat="false" ht="15" hidden="false" customHeight="true" outlineLevel="0" collapsed="false">
      <c r="A38" s="34" t="s">
        <v>1551</v>
      </c>
      <c r="B38" s="129" t="s">
        <v>1484</v>
      </c>
      <c r="C38" s="38" t="s">
        <v>1552</v>
      </c>
      <c r="D38" s="38" t="s">
        <v>1553</v>
      </c>
      <c r="E38" s="34" t="s">
        <v>104</v>
      </c>
      <c r="F38" s="130" t="s">
        <v>1554</v>
      </c>
      <c r="G38" s="33"/>
    </row>
    <row r="39" customFormat="false" ht="24.75" hidden="false" customHeight="true" outlineLevel="0" collapsed="false">
      <c r="A39" s="34" t="s">
        <v>1555</v>
      </c>
      <c r="B39" s="129" t="s">
        <v>1556</v>
      </c>
      <c r="C39" s="38" t="s">
        <v>1557</v>
      </c>
      <c r="D39" s="33" t="s">
        <v>1558</v>
      </c>
      <c r="E39" s="34" t="s">
        <v>108</v>
      </c>
      <c r="F39" s="130" t="s">
        <v>1559</v>
      </c>
      <c r="G39" s="38" t="s">
        <v>1560</v>
      </c>
    </row>
    <row r="40" customFormat="false" ht="26.25" hidden="false" customHeight="true" outlineLevel="0" collapsed="false">
      <c r="A40" s="34" t="s">
        <v>1561</v>
      </c>
      <c r="B40" s="129" t="s">
        <v>1562</v>
      </c>
      <c r="C40" s="38" t="s">
        <v>1563</v>
      </c>
      <c r="D40" s="38" t="s">
        <v>1564</v>
      </c>
      <c r="E40" s="34" t="s">
        <v>104</v>
      </c>
      <c r="F40" s="130" t="s">
        <v>1565</v>
      </c>
      <c r="G40" s="33" t="s">
        <v>1566</v>
      </c>
    </row>
    <row r="41" customFormat="false" ht="26.25" hidden="false" customHeight="true" outlineLevel="0" collapsed="false">
      <c r="A41" s="34" t="s">
        <v>1567</v>
      </c>
      <c r="B41" s="129" t="s">
        <v>1484</v>
      </c>
      <c r="C41" s="38" t="s">
        <v>1568</v>
      </c>
      <c r="D41" s="38" t="s">
        <v>1569</v>
      </c>
      <c r="E41" s="34" t="s">
        <v>108</v>
      </c>
      <c r="F41" s="130" t="s">
        <v>1570</v>
      </c>
      <c r="G41" s="38" t="s">
        <v>1571</v>
      </c>
    </row>
    <row r="42" customFormat="false" ht="64.5" hidden="false" customHeight="true" outlineLevel="0" collapsed="false">
      <c r="A42" s="34" t="s">
        <v>1572</v>
      </c>
      <c r="B42" s="129" t="s">
        <v>1484</v>
      </c>
      <c r="C42" s="38" t="s">
        <v>1573</v>
      </c>
      <c r="D42" s="38" t="s">
        <v>1574</v>
      </c>
      <c r="E42" s="34" t="s">
        <v>108</v>
      </c>
      <c r="F42" s="130" t="s">
        <v>1575</v>
      </c>
      <c r="G42" s="33" t="s">
        <v>1576</v>
      </c>
    </row>
    <row r="43" customFormat="false" ht="24.75" hidden="false" customHeight="true" outlineLevel="0" collapsed="false">
      <c r="A43" s="34" t="s">
        <v>1577</v>
      </c>
      <c r="B43" s="129" t="s">
        <v>1484</v>
      </c>
      <c r="C43" s="38" t="s">
        <v>1578</v>
      </c>
      <c r="D43" s="38" t="s">
        <v>1579</v>
      </c>
      <c r="E43" s="34" t="s">
        <v>108</v>
      </c>
      <c r="F43" s="130" t="s">
        <v>1580</v>
      </c>
      <c r="G43" s="33" t="s">
        <v>1581</v>
      </c>
    </row>
    <row r="44" customFormat="false" ht="23.25" hidden="false" customHeight="true" outlineLevel="0" collapsed="false">
      <c r="A44" s="34" t="s">
        <v>1582</v>
      </c>
      <c r="B44" s="129" t="s">
        <v>1484</v>
      </c>
      <c r="C44" s="38" t="s">
        <v>1583</v>
      </c>
      <c r="D44" s="38" t="s">
        <v>1584</v>
      </c>
      <c r="E44" s="34" t="s">
        <v>104</v>
      </c>
      <c r="F44" s="130" t="s">
        <v>1585</v>
      </c>
      <c r="G44" s="33"/>
    </row>
    <row r="45" customFormat="false" ht="15" hidden="false" customHeight="true" outlineLevel="0" collapsed="false">
      <c r="A45" s="34" t="s">
        <v>1586</v>
      </c>
      <c r="B45" s="129" t="s">
        <v>1484</v>
      </c>
      <c r="C45" s="38" t="s">
        <v>1587</v>
      </c>
      <c r="D45" s="38" t="s">
        <v>1588</v>
      </c>
      <c r="E45" s="34" t="s">
        <v>104</v>
      </c>
      <c r="F45" s="130" t="s">
        <v>1589</v>
      </c>
      <c r="G45" s="33"/>
    </row>
    <row r="46" customFormat="false" ht="23.25" hidden="false" customHeight="true" outlineLevel="0" collapsed="false">
      <c r="A46" s="34" t="s">
        <v>1590</v>
      </c>
      <c r="B46" s="129" t="s">
        <v>1484</v>
      </c>
      <c r="C46" s="38" t="s">
        <v>1591</v>
      </c>
      <c r="D46" s="38" t="s">
        <v>1592</v>
      </c>
      <c r="E46" s="34" t="s">
        <v>104</v>
      </c>
      <c r="F46" s="130" t="s">
        <v>1593</v>
      </c>
      <c r="G46" s="38" t="s">
        <v>1594</v>
      </c>
    </row>
    <row r="47" customFormat="false" ht="15" hidden="false" customHeight="true" outlineLevel="0" collapsed="false">
      <c r="A47" s="34" t="s">
        <v>1595</v>
      </c>
      <c r="B47" s="129" t="s">
        <v>1484</v>
      </c>
      <c r="C47" s="38" t="s">
        <v>1596</v>
      </c>
      <c r="D47" s="38" t="s">
        <v>1597</v>
      </c>
      <c r="E47" s="34" t="s">
        <v>104</v>
      </c>
      <c r="F47" s="130" t="s">
        <v>1598</v>
      </c>
      <c r="G47" s="33"/>
    </row>
    <row r="48" customFormat="false" ht="51.75" hidden="false" customHeight="true" outlineLevel="0" collapsed="false">
      <c r="A48" s="34" t="s">
        <v>1599</v>
      </c>
      <c r="B48" s="129" t="s">
        <v>1600</v>
      </c>
      <c r="C48" s="38" t="s">
        <v>1601</v>
      </c>
      <c r="D48" s="38" t="s">
        <v>1602</v>
      </c>
      <c r="E48" s="34" t="s">
        <v>104</v>
      </c>
      <c r="F48" s="130" t="s">
        <v>1603</v>
      </c>
      <c r="G48" s="38" t="s">
        <v>1604</v>
      </c>
    </row>
    <row r="49" customFormat="false" ht="15" hidden="false" customHeight="true" outlineLevel="0" collapsed="false">
      <c r="A49" s="34" t="s">
        <v>1605</v>
      </c>
      <c r="B49" s="129" t="s">
        <v>1600</v>
      </c>
      <c r="C49" s="38" t="s">
        <v>1606</v>
      </c>
      <c r="D49" s="38" t="s">
        <v>1607</v>
      </c>
      <c r="E49" s="34" t="s">
        <v>108</v>
      </c>
      <c r="F49" s="130" t="s">
        <v>1608</v>
      </c>
      <c r="G49" s="38" t="s">
        <v>1609</v>
      </c>
    </row>
    <row r="50" customFormat="false" ht="24.75" hidden="false" customHeight="true" outlineLevel="0" collapsed="false">
      <c r="A50" s="34" t="s">
        <v>1610</v>
      </c>
      <c r="B50" s="129" t="s">
        <v>1484</v>
      </c>
      <c r="C50" s="38" t="s">
        <v>1611</v>
      </c>
      <c r="D50" s="38" t="s">
        <v>1612</v>
      </c>
      <c r="E50" s="34" t="s">
        <v>108</v>
      </c>
      <c r="F50" s="130" t="s">
        <v>1613</v>
      </c>
      <c r="G50" s="33"/>
    </row>
    <row r="51" customFormat="false" ht="15" hidden="false" customHeight="true" outlineLevel="0" collapsed="false">
      <c r="A51" s="34" t="s">
        <v>1614</v>
      </c>
      <c r="B51" s="129" t="s">
        <v>1484</v>
      </c>
      <c r="C51" s="38" t="s">
        <v>1615</v>
      </c>
      <c r="D51" s="33" t="s">
        <v>1616</v>
      </c>
      <c r="E51" s="34" t="s">
        <v>345</v>
      </c>
      <c r="F51" s="130" t="s">
        <v>1617</v>
      </c>
      <c r="G51" s="33" t="s">
        <v>1618</v>
      </c>
    </row>
  </sheetData>
  <mergeCells count="4">
    <mergeCell ref="B5:D5"/>
    <mergeCell ref="B6:D6"/>
    <mergeCell ref="B7:D7"/>
    <mergeCell ref="B8:D8"/>
  </mergeCells>
  <conditionalFormatting sqref="E11:E51">
    <cfRule type="cellIs" priority="2" operator="equal" aboveAverage="0" equalAverage="0" bottom="0" percent="0" rank="0" text="" dxfId="11">
      <formula>"A"</formula>
    </cfRule>
    <cfRule type="cellIs" priority="3" operator="equal" aboveAverage="0" equalAverage="0" bottom="0" percent="0" rank="0" text="" dxfId="14">
      <formula>"B"</formula>
    </cfRule>
    <cfRule type="cellIs" priority="4" operator="equal" aboveAverage="0" equalAverage="0" bottom="0" percent="0" rank="0" text="" dxfId="13">
      <formula>"C"</formula>
    </cfRule>
    <cfRule type="cellIs" priority="5" operator="equal" aboveAverage="0" equalAverage="0" bottom="0" percent="0" rank="0" text="" dxfId="15">
      <formula>"D"</formula>
    </cfRule>
  </conditionalFormatting>
  <hyperlinks>
    <hyperlink ref="F11" r:id="rId1" display="https://www.taxcanvas.kr/core/law/0097072025080535696/history/2025-08-07"/>
    <hyperlink ref="F12" r:id="rId2" display="https://www.kfsi.or.kr/contents/webzine/202003/sub02-01.html"/>
    <hyperlink ref="F13" r:id="rId3" display="https://elaw.klri.re.kr/kor_service/lawViewTitle.do?hseq=64986"/>
    <hyperlink ref="F14" r:id="rId4" display="https://www.esafetykorea.or.kr"/>
    <hyperlink ref="F15" r:id="rId5" display="https://www.koscaj.com/news/articleView.html?idxno=311178"/>
    <hyperlink ref="F16" r:id="rId6" display="https://www.lawtalk.co.kr/posts/165966"/>
    <hyperlink ref="F17" r:id="rId7" display="https://www.nepla.ai/law/고압가스안전관리법"/>
    <hyperlink ref="F18" r:id="rId8" display="https://tour.gunsan.go.kr/_cms/board/eFileDownload/111/941653/72ce799e30239c962e6616e382d24dea"/>
    <hyperlink ref="F19" r:id="rId9" display="https://hseworld.co.kr/36"/>
    <hyperlink ref="F20" r:id="rId10" display="https://www.kim2kie.com/res/html/0_formula/00%20Dynamics/KDS%2041/KDS%2041%2017%2000.pdf"/>
    <hyperlink ref="F21" r:id="rId11" display="https://www.kgs.or.kr"/>
    <hyperlink ref="F22" r:id="rId12" display="https://epcland.com/asme-b31-3-pressure-leak-test-2/"/>
    <hyperlink ref="F23" r:id="rId13" display="https://webstore.ansi.org/standards/nace/ansinacemr01752021iso151562020"/>
    <hyperlink ref="F24" r:id="rId14" display="https://webstore.ansi.org/standards/nace/ansinacemr01032015iso17945"/>
    <hyperlink ref="F25" r:id="rId15" display="https://www.dinmedia.de/en/technical-rule/api-rp-941/328516281"/>
    <hyperlink ref="F26" r:id="rId16" display="https://www.api.org/-/media/Files/Certification/ICP/ICP-Certification-Programs/653/2026%20files/March%202027_653_Publications%20Effectivity%20sheet_final.pdf"/>
    <hyperlink ref="F27" r:id="rId17" display="https://eshop.normservis.sk/norma/apistd-598-1.2.2023.html"/>
    <hyperlink ref="F28" r:id="rId18" display="https://www.api.org/products-and-services/standards/important-standards-announcements/spec6d"/>
    <hyperlink ref="F29" r:id="rId19" display="https://eshop.normservis.sk/norma/apistd-607-ed-8-1.10.2022.html"/>
    <hyperlink ref="F30" r:id="rId20" display="https://www.iso.org/standard/61441.html"/>
    <hyperlink ref="F31" r:id="rId21" display="https://wermac.org/din/en10204.html"/>
    <hyperlink ref="F32" r:id="rId22" display="https://online.standard.no/en/api-rp-2201"/>
    <hyperlink ref="F33" r:id="rId23" display="https://eshop.normservis.sk/norma/apirp-2218-ed-3-1.3.2020.html"/>
    <hyperlink ref="F34" r:id="rId24" display="https://eshop.normservis.sk/norma/apistd-521-31.5.2020.html"/>
    <hyperlink ref="F35" r:id="rId25" display="https://online.standard.no/nb/api-std-537-8"/>
    <hyperlink ref="F36" r:id="rId26" display="https://webstore.iec.ch/publication/63327"/>
    <hyperlink ref="F37" r:id="rId27" display="https://dinmedia.de/en/technical-rule/api-rp-505/296066690"/>
    <hyperlink ref="F38" r:id="rId28" display="https://www.evs.ee/en/iso-8501-1-2007"/>
    <hyperlink ref="F39" r:id="rId29" display="https://epcland.com/aace-estimate-classification-system/"/>
    <hyperlink ref="F40" r:id="rId30" display="https://shop.elsevier.com/books/estimators-piping-man-hour-manual/page/978-0-88415-259-0"/>
    <hyperlink ref="F41" r:id="rId31" display="https://www.eng-tips.com/viewthread.cfm?qid=499830"/>
    <hyperlink ref="F42" r:id="rId32" display="https://www.dinmedia.de/en/standard/api-std-650/394730646"/>
    <hyperlink ref="F43" r:id="rId33" display="https://www.dinmedia.de/en/standard/api-std-620/390848206"/>
    <hyperlink ref="F44" r:id="rId34" display="https://www.dinmedia.de/en/standard/api-std-625/389977817"/>
    <hyperlink ref="F45" r:id="rId35" display="https://eshop.normservis.sk/norma/apirp-651-1.8.2024.html"/>
    <hyperlink ref="F46" r:id="rId36" display="https://6sku3uaup9f9.din.de/en/standard/api-std-653/394283939"/>
    <hyperlink ref="F47" r:id="rId37" display="https://online.standard.no/en/api-std-2000-8"/>
    <hyperlink ref="F48" r:id="rId38" display="https://bookstore.emerald.com/media/preview/9781836081814-23-2.pdf"/>
    <hyperlink ref="F49" r:id="rId39" display="https://pdfcoffee.com/fidic-procurement-guide-pdf-free.html"/>
    <hyperlink ref="F50" r:id="rId40" display="https://online.standard.no/en/api-spec-12f-13"/>
    <hyperlink ref="F51" r:id="rId41" display="https://www.asme.o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2026-10-16T05:17:09Z</dcterms:created>
  <dc:creator>openpyxl</dc:creator>
  <dc:description/>
  <dc:language>en-US</dc:language>
  <cp:lastModifiedBy/>
  <dcterms:modified xsi:type="dcterms:W3CDTF">2026-10-16T08:31:54Z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